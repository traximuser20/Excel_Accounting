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raxim\Documents\Excel Work\"/>
    </mc:Choice>
  </mc:AlternateContent>
  <xr:revisionPtr revIDLastSave="0" documentId="13_ncr:1_{C03E6C11-B426-42FF-A719-345535DF0330}" xr6:coauthVersionLast="47" xr6:coauthVersionMax="47" xr10:uidLastSave="{00000000-0000-0000-0000-000000000000}"/>
  <bookViews>
    <workbookView xWindow="-120" yWindow="-120" windowWidth="29040" windowHeight="15720" tabRatio="641" activeTab="1" xr2:uid="{00000000-000D-0000-FFFF-FFFF00000000}"/>
  </bookViews>
  <sheets>
    <sheet name="ASGAR" sheetId="1" r:id="rId1"/>
    <sheet name="AHSAN GHAZI CENTER" sheetId="89" r:id="rId2"/>
    <sheet name="AHSAN SWAT" sheetId="128" r:id="rId3"/>
    <sheet name="ASIF HASSAN" sheetId="84" r:id="rId4"/>
    <sheet name="ALI  KH  HASAN" sheetId="97" r:id="rId5"/>
    <sheet name="ALI PLASTIC" sheetId="73" r:id="rId6"/>
    <sheet name="ASHRAF  BUND ROAD" sheetId="94" r:id="rId7"/>
    <sheet name="AZEEM CHAWLA" sheetId="64" r:id="rId8"/>
    <sheet name="AHY" sheetId="105" r:id="rId9"/>
    <sheet name="A A  JUNAID" sheetId="54" r:id="rId10"/>
    <sheet name="ASHRAF REF ASIF BHUTA" sheetId="123" r:id="rId11"/>
    <sheet name="ABL  LK DEPOSIT" sheetId="92" r:id="rId12"/>
    <sheet name="AFZAL" sheetId="5" r:id="rId13"/>
    <sheet name="AQIB. havel" sheetId="2" r:id="rId14"/>
    <sheet name="ADIL " sheetId="108" r:id="rId15"/>
    <sheet name="ANMOL" sheetId="7" r:id="rId16"/>
    <sheet name="AZIZ" sheetId="6" r:id="rId17"/>
    <sheet name="AMIR CHEMA GUJRAT" sheetId="113" r:id="rId18"/>
    <sheet name="AHSAN ILAHI REF ASIF" sheetId="100" r:id="rId19"/>
    <sheet name="ALFATAH" sheetId="110" r:id="rId20"/>
    <sheet name="ABID PLASTIC" sheetId="103" r:id="rId21"/>
    <sheet name="ASLAM REF ASIF" sheetId="114" r:id="rId22"/>
    <sheet name="TAXO  SIDDIQUI  TRADER" sheetId="11" r:id="rId23"/>
    <sheet name="AL NAFAEH" sheetId="126" r:id="rId24"/>
    <sheet name="BILAL" sheetId="119" r:id="rId25"/>
    <sheet name="BASIT MUNIR" sheetId="9" r:id="rId26"/>
    <sheet name="CARVAN TRADERS" sheetId="96" r:id="rId27"/>
    <sheet name="DILBAR  BURAWALA" sheetId="121" r:id="rId28"/>
    <sheet name="FINE  BILLO" sheetId="8" r:id="rId29"/>
    <sheet name="FINE  PLASTIC" sheetId="101" r:id="rId30"/>
    <sheet name="FAISAL DAWOOD" sheetId="112" r:id="rId31"/>
    <sheet name="HAMZA PACKAGES" sheetId="135" r:id="rId32"/>
    <sheet name="HAMZA" sheetId="12" r:id="rId33"/>
    <sheet name="HAJI BROS" sheetId="133" r:id="rId34"/>
    <sheet name="HAJI SONS" sheetId="118" r:id="rId35"/>
    <sheet name="HAVEL" sheetId="14" r:id="rId36"/>
    <sheet name="IMTIAZ  TMR  MKT" sheetId="63" r:id="rId37"/>
    <sheet name="ISHAQ" sheetId="124" r:id="rId38"/>
    <sheet name="MIAN JAVAD HAVEL" sheetId="102" r:id="rId39"/>
    <sheet name="JAVED  REF ASIF HASAN" sheetId="116" r:id="rId40"/>
    <sheet name="JUNAID.PLASTIC" sheetId="16" r:id="rId41"/>
    <sheet name="KH GOHAR" sheetId="13" r:id="rId42"/>
    <sheet name="K PACK" sheetId="15" r:id="rId43"/>
    <sheet name="KOH.A.NOOR" sheetId="18" r:id="rId44"/>
    <sheet name="KH KHURRAM" sheetId="125" r:id="rId45"/>
    <sheet name="KAMRAN   LDP" sheetId="99" r:id="rId46"/>
    <sheet name="KAKA  M S" sheetId="74" r:id="rId47"/>
    <sheet name="KO NOOR  ALI" sheetId="115" r:id="rId48"/>
    <sheet name="LHR  POLY" sheetId="132" r:id="rId49"/>
    <sheet name="LUCKY" sheetId="117" r:id="rId50"/>
    <sheet name="MAPCO" sheetId="98" r:id="rId51"/>
    <sheet name="MUKTAR" sheetId="57" r:id="rId52"/>
    <sheet name="MOON PLASTIC" sheetId="21" r:id="rId53"/>
    <sheet name="MALIK INDUSTERY" sheetId="85" r:id="rId54"/>
    <sheet name="MIAN ISHFAQ REF MIAN JAVAD" sheetId="60" r:id="rId55"/>
    <sheet name="M.S.PLASTIC" sheetId="24" r:id="rId56"/>
    <sheet name="MASTER LATIF" sheetId="120" r:id="rId57"/>
    <sheet name="MUBASAR  SIDDIQUI" sheetId="29" r:id="rId58"/>
    <sheet name="MUKTAR.COMETEE" sheetId="56" r:id="rId59"/>
    <sheet name="MAJID LIBERTY" sheetId="59" r:id="rId60"/>
    <sheet name="MOHSIN" sheetId="48" r:id="rId61"/>
    <sheet name="MAMU BASHARAT" sheetId="107" r:id="rId62"/>
    <sheet name="MUDASAR  N N" sheetId="86" r:id="rId63"/>
    <sheet name="N N PLASTIC" sheetId="35" r:id="rId64"/>
    <sheet name="NASIR  " sheetId="66" r:id="rId65"/>
    <sheet name="OLMPIA CASH" sheetId="122" r:id="rId66"/>
    <sheet name="PAK NOORANI" sheetId="88" r:id="rId67"/>
    <sheet name="PRINCE TRADERS" sheetId="91" r:id="rId68"/>
    <sheet name="PAK PLASTIC" sheetId="95" r:id="rId69"/>
    <sheet name="PAK PLASTIC CAR" sheetId="42" r:id="rId70"/>
    <sheet name="PLASTIC CENTER" sheetId="87" state="hidden" r:id="rId71"/>
    <sheet name="ROSHAN PVC" sheetId="93" r:id="rId72"/>
    <sheet name="Sheet2" sheetId="145" r:id="rId73"/>
    <sheet name="RIAZ SONS" sheetId="44" r:id="rId74"/>
    <sheet name="RASHEED PACKAGES" sheetId="136" r:id="rId75"/>
    <sheet name="ROYAL.PLASTIC" sheetId="43" r:id="rId76"/>
    <sheet name="RUBANI" sheetId="82" r:id="rId77"/>
    <sheet name="SUPER NOORANI" sheetId="41" r:id="rId78"/>
    <sheet name="SOOFI PLASTIC" sheetId="137" r:id="rId79"/>
    <sheet name="SURI CHEMICAL" sheetId="129" r:id="rId80"/>
    <sheet name="S A S" sheetId="37" r:id="rId81"/>
    <sheet name="SH DAWOOD" sheetId="90" r:id="rId82"/>
    <sheet name="SAJID PLASTIC" sheetId="131" r:id="rId83"/>
    <sheet name="SABIR SHAHDARA" sheetId="45" r:id="rId84"/>
    <sheet name="SUN   NABEEL" sheetId="28" r:id="rId85"/>
    <sheet name="SHABER" sheetId="141" r:id="rId86"/>
    <sheet name="SUN  PLASTIC  SOHAIL" sheetId="67" r:id="rId87"/>
    <sheet name="SAEED SAMANABAD" sheetId="49" r:id="rId88"/>
    <sheet name="TARIQ  PLASTIC" sheetId="58" r:id="rId89"/>
    <sheet name="TAHIR RASHEED" sheetId="142" r:id="rId90"/>
    <sheet name="U B C" sheetId="51" r:id="rId91"/>
    <sheet name="UMAIR MOCHI" sheetId="127" r:id="rId92"/>
    <sheet name="USMAN  CALPET" sheetId="106" r:id="rId93"/>
    <sheet name="UMER MAQSOOD" sheetId="134" r:id="rId94"/>
    <sheet name="ZULFQARNAN" sheetId="36" r:id="rId95"/>
    <sheet name="Sheet1" sheetId="144" r:id="rId96"/>
    <sheet name="ZAFAR REF SAJID PLASTIC" sheetId="111" r:id="rId97"/>
    <sheet name="WAQAS PLASTIC IRFAN" sheetId="130" r:id="rId98"/>
    <sheet name="WAQAS PLASTIC WAQAS" sheetId="52" r:id="rId99"/>
    <sheet name="BANK AL HABIB" sheetId="140" r:id="rId100"/>
    <sheet name="OUTSTANDING BANK PAYMENT" sheetId="109" r:id="rId101"/>
    <sheet name="ALFALAH  MARGEN" sheetId="139" r:id="rId102"/>
    <sheet name="IMPORT" sheetId="143" r:id="rId103"/>
  </sheets>
  <externalReferences>
    <externalReference r:id="rId104"/>
  </externalReferences>
  <definedNames>
    <definedName name="A">'MASTER LATIF'!$XFD$4</definedName>
    <definedName name="SheetNames">[1]Master!$E$2:$E$105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08" l="1"/>
  <c r="G1" i="108"/>
  <c r="H1" i="108" s="1"/>
  <c r="H603" i="89" l="1"/>
  <c r="H604" i="89" s="1"/>
  <c r="H605" i="89" s="1"/>
  <c r="H606" i="89" s="1"/>
  <c r="H607" i="89" s="1"/>
  <c r="H608" i="89" s="1"/>
  <c r="H609" i="89" s="1"/>
  <c r="H610" i="89" s="1"/>
  <c r="H611" i="89" s="1"/>
  <c r="H612" i="89" s="1"/>
  <c r="H613" i="89" s="1"/>
  <c r="H614" i="89" s="1"/>
  <c r="H615" i="89" s="1"/>
  <c r="H616" i="89" s="1"/>
  <c r="H617" i="89" s="1"/>
  <c r="H618" i="89" s="1"/>
  <c r="H619" i="89" s="1"/>
  <c r="H620" i="89" s="1"/>
  <c r="H621" i="89" s="1"/>
  <c r="H622" i="89" s="1"/>
  <c r="H623" i="89" s="1"/>
  <c r="H624" i="89" s="1"/>
  <c r="H625" i="89" s="1"/>
  <c r="H626" i="89" s="1"/>
  <c r="H627" i="89" s="1"/>
  <c r="H628" i="89" s="1"/>
  <c r="H629" i="89" s="1"/>
  <c r="H630" i="89" s="1"/>
  <c r="H631" i="89" s="1"/>
  <c r="H632" i="89" s="1"/>
  <c r="H633" i="89" s="1"/>
  <c r="H634" i="89" s="1"/>
  <c r="H635" i="89" s="1"/>
  <c r="H636" i="89" s="1"/>
  <c r="H637" i="89" s="1"/>
  <c r="H638" i="89" s="1"/>
  <c r="H639" i="89" s="1"/>
  <c r="H640" i="89" s="1"/>
  <c r="H641" i="89" s="1"/>
  <c r="H642" i="89" s="1"/>
  <c r="H643" i="89" s="1"/>
  <c r="H644" i="89" s="1"/>
  <c r="H645" i="89" s="1"/>
  <c r="H646" i="89" s="1"/>
  <c r="H647" i="89" s="1"/>
  <c r="H648" i="89" s="1"/>
  <c r="H649" i="89" s="1"/>
  <c r="H650" i="89" s="1"/>
  <c r="H651" i="89" s="1"/>
  <c r="H652" i="89" s="1"/>
  <c r="H653" i="89" s="1"/>
  <c r="H654" i="89" s="1"/>
  <c r="H655" i="89" s="1"/>
  <c r="H656" i="89" s="1"/>
  <c r="H657" i="89" s="1"/>
  <c r="H658" i="89" s="1"/>
  <c r="H659" i="89" s="1"/>
  <c r="H660" i="89" s="1"/>
  <c r="H661" i="89" s="1"/>
  <c r="H662" i="89" s="1"/>
  <c r="H663" i="89" s="1"/>
  <c r="H664" i="89" s="1"/>
  <c r="H665" i="89" s="1"/>
  <c r="H666" i="89" s="1"/>
  <c r="H667" i="89" s="1"/>
  <c r="H668" i="89" s="1"/>
  <c r="H669" i="89" s="1"/>
  <c r="H670" i="89" s="1"/>
  <c r="H671" i="89" s="1"/>
  <c r="H672" i="89" s="1"/>
  <c r="H673" i="89" s="1"/>
  <c r="H674" i="89" s="1"/>
  <c r="H675" i="89" s="1"/>
  <c r="H676" i="89" s="1"/>
  <c r="H677" i="89" s="1"/>
  <c r="H678" i="89" s="1"/>
  <c r="H679" i="89" s="1"/>
  <c r="H680" i="89" s="1"/>
  <c r="H681" i="89" s="1"/>
  <c r="H682" i="89" s="1"/>
  <c r="H683" i="89" s="1"/>
  <c r="H684" i="89" s="1"/>
  <c r="H685" i="89" s="1"/>
  <c r="H686" i="89" s="1"/>
  <c r="H687" i="89" s="1"/>
  <c r="H688" i="89" s="1"/>
  <c r="H689" i="89" s="1"/>
  <c r="H690" i="89" s="1"/>
  <c r="H691" i="89" s="1"/>
  <c r="H692" i="89" s="1"/>
  <c r="H693" i="89" s="1"/>
  <c r="H694" i="89" s="1"/>
  <c r="H695" i="89" s="1"/>
  <c r="H696" i="89" s="1"/>
  <c r="H697" i="89" s="1"/>
  <c r="H698" i="89" s="1"/>
  <c r="H699" i="89" s="1"/>
  <c r="H700" i="89" s="1"/>
  <c r="H701" i="89" s="1"/>
  <c r="H702" i="89" s="1"/>
  <c r="H703" i="89" s="1"/>
  <c r="H704" i="89" s="1"/>
  <c r="H705" i="89" s="1"/>
  <c r="H706" i="89" s="1"/>
  <c r="H707" i="89" s="1"/>
  <c r="H708" i="89" s="1"/>
  <c r="H709" i="89" s="1"/>
  <c r="H710" i="89" s="1"/>
  <c r="H711" i="89" s="1"/>
  <c r="H712" i="89" s="1"/>
  <c r="H713" i="89" s="1"/>
  <c r="H714" i="89" s="1"/>
  <c r="H715" i="89" s="1"/>
  <c r="H716" i="89" s="1"/>
  <c r="H717" i="89" s="1"/>
  <c r="H718" i="89" s="1"/>
  <c r="H719" i="89" s="1"/>
  <c r="H720" i="89" s="1"/>
  <c r="H721" i="89" s="1"/>
  <c r="H722" i="89" s="1"/>
  <c r="H723" i="89" s="1"/>
  <c r="H724" i="89" s="1"/>
  <c r="H725" i="89" s="1"/>
  <c r="H726" i="89" s="1"/>
  <c r="H727" i="89" s="1"/>
  <c r="H728" i="89" s="1"/>
  <c r="H729" i="89" s="1"/>
  <c r="H730" i="89" s="1"/>
  <c r="H731" i="89" s="1"/>
  <c r="H732" i="89" s="1"/>
  <c r="H733" i="89" s="1"/>
  <c r="H734" i="89" s="1"/>
  <c r="H735" i="89" s="1"/>
  <c r="H736" i="89" s="1"/>
  <c r="H737" i="89" s="1"/>
  <c r="H738" i="89" s="1"/>
  <c r="H739" i="89" s="1"/>
  <c r="H740" i="89" s="1"/>
  <c r="H741" i="89" s="1"/>
  <c r="H742" i="89" s="1"/>
  <c r="H743" i="89" s="1"/>
  <c r="H744" i="89" s="1"/>
  <c r="H745" i="89" s="1"/>
  <c r="H746" i="89" s="1"/>
  <c r="H747" i="89" s="1"/>
  <c r="H748" i="89" s="1"/>
  <c r="H749" i="89" s="1"/>
  <c r="H750" i="89" s="1"/>
  <c r="H751" i="89" s="1"/>
  <c r="H752" i="89" s="1"/>
  <c r="H753" i="89" s="1"/>
  <c r="H754" i="89" s="1"/>
  <c r="H755" i="89" s="1"/>
  <c r="H756" i="89" s="1"/>
  <c r="H757" i="89" s="1"/>
  <c r="H758" i="89" s="1"/>
  <c r="H759" i="89" s="1"/>
  <c r="H760" i="89" s="1"/>
  <c r="H761" i="89" s="1"/>
  <c r="H762" i="89" s="1"/>
  <c r="H763" i="89" s="1"/>
  <c r="H764" i="89" s="1"/>
  <c r="H765" i="89" s="1"/>
  <c r="H766" i="89" s="1"/>
  <c r="H767" i="89" s="1"/>
  <c r="H768" i="89" s="1"/>
  <c r="H769" i="89" s="1"/>
  <c r="H770" i="89" s="1"/>
  <c r="H771" i="89" s="1"/>
  <c r="H772" i="89" s="1"/>
  <c r="H773" i="89" s="1"/>
  <c r="H774" i="89" s="1"/>
  <c r="H775" i="89" s="1"/>
  <c r="H776" i="89" s="1"/>
  <c r="H777" i="89" s="1"/>
  <c r="H778" i="89" s="1"/>
  <c r="H779" i="89" s="1"/>
  <c r="H780" i="89" s="1"/>
  <c r="H781" i="89" s="1"/>
  <c r="H782" i="89" s="1"/>
  <c r="H783" i="89" s="1"/>
  <c r="H784" i="89" s="1"/>
  <c r="H785" i="89" s="1"/>
  <c r="H786" i="89" s="1"/>
  <c r="H787" i="89" s="1"/>
  <c r="H788" i="89" s="1"/>
  <c r="H789" i="89" s="1"/>
  <c r="H790" i="89" s="1"/>
  <c r="H791" i="89" s="1"/>
  <c r="H792" i="89" s="1"/>
  <c r="H793" i="89" s="1"/>
  <c r="H794" i="89" s="1"/>
  <c r="H795" i="89" s="1"/>
  <c r="H796" i="89" s="1"/>
  <c r="H797" i="89" s="1"/>
  <c r="H798" i="89" s="1"/>
  <c r="H799" i="89" s="1"/>
  <c r="H800" i="89" s="1"/>
  <c r="H801" i="89" s="1"/>
  <c r="H802" i="89" s="1"/>
  <c r="H803" i="89" s="1"/>
  <c r="H804" i="89" s="1"/>
  <c r="H805" i="89" s="1"/>
  <c r="H806" i="89" s="1"/>
  <c r="F1" i="107" l="1"/>
  <c r="F5" i="57" l="1"/>
  <c r="F6" i="57" s="1"/>
  <c r="F7" i="57" s="1"/>
  <c r="F1" i="95" l="1"/>
  <c r="A6" i="66"/>
  <c r="F1" i="41" l="1"/>
  <c r="E1" i="41"/>
  <c r="G1" i="41" l="1"/>
  <c r="F1" i="89" l="1"/>
  <c r="E1" i="98" l="1"/>
  <c r="F1" i="21"/>
  <c r="E1" i="132"/>
  <c r="F1" i="117"/>
  <c r="F1" i="74"/>
  <c r="F1" i="99"/>
  <c r="F1" i="125"/>
  <c r="F1" i="15"/>
  <c r="E1" i="102"/>
  <c r="F1" i="16"/>
  <c r="F1" i="116"/>
  <c r="F1" i="124"/>
  <c r="F1" i="63"/>
  <c r="F1" i="118"/>
  <c r="F1" i="12"/>
  <c r="F1" i="133"/>
  <c r="F1" i="112"/>
  <c r="E1" i="101"/>
  <c r="E1" i="8"/>
  <c r="E1" i="121"/>
  <c r="F1" i="96"/>
  <c r="G1" i="96"/>
  <c r="G1" i="9"/>
  <c r="F1" i="9"/>
  <c r="F1" i="119"/>
  <c r="E1" i="11"/>
  <c r="F1" i="114"/>
  <c r="F1" i="103"/>
  <c r="F1" i="100"/>
  <c r="E1" i="110"/>
  <c r="F1" i="113"/>
  <c r="F1" i="7"/>
  <c r="E1" i="6"/>
  <c r="E1" i="2"/>
  <c r="F1" i="73"/>
  <c r="E1" i="5"/>
  <c r="F1" i="54"/>
  <c r="E1" i="92"/>
  <c r="F1" i="123"/>
  <c r="F1" i="94"/>
  <c r="H1" i="9" l="1"/>
  <c r="H1" i="96"/>
  <c r="F1" i="115" l="1"/>
  <c r="F1" i="18" l="1"/>
  <c r="F1" i="48" l="1"/>
  <c r="E1" i="48"/>
  <c r="G1" i="48" l="1"/>
  <c r="G1" i="74" l="1"/>
  <c r="H1" i="74" l="1"/>
  <c r="F1" i="128"/>
  <c r="G1" i="58" l="1"/>
  <c r="F1" i="58"/>
  <c r="H1" i="58" l="1"/>
  <c r="G1" i="94" l="1"/>
  <c r="H1" i="94" l="1"/>
  <c r="F1" i="143" l="1"/>
  <c r="E1" i="143"/>
  <c r="G1" i="143" l="1"/>
  <c r="F1" i="140"/>
  <c r="E1" i="140"/>
  <c r="F1" i="139"/>
  <c r="E1" i="139"/>
  <c r="G1" i="109"/>
  <c r="F1" i="109"/>
  <c r="F1" i="52"/>
  <c r="E1" i="52"/>
  <c r="F1" i="111"/>
  <c r="G1" i="140" l="1"/>
  <c r="H1" i="109"/>
  <c r="G1" i="139"/>
  <c r="G1" i="52"/>
  <c r="E1" i="111"/>
  <c r="G1" i="111" s="1"/>
  <c r="E1" i="130"/>
  <c r="F1" i="130"/>
  <c r="F1" i="28"/>
  <c r="G1" i="28"/>
  <c r="G1" i="130" l="1"/>
  <c r="H1" i="28"/>
  <c r="G1" i="142"/>
  <c r="F1" i="142"/>
  <c r="H1" i="142" l="1"/>
  <c r="G1" i="127"/>
  <c r="F1" i="127"/>
  <c r="F1" i="134"/>
  <c r="G1" i="134"/>
  <c r="H1" i="134" l="1"/>
  <c r="H1" i="127"/>
  <c r="G1" i="49" l="1"/>
  <c r="F1" i="49"/>
  <c r="G1" i="67"/>
  <c r="F1" i="67" l="1"/>
  <c r="H1" i="67" s="1"/>
  <c r="H1" i="49"/>
  <c r="G1" i="141"/>
  <c r="F1" i="141"/>
  <c r="H1" i="141" l="1"/>
  <c r="F1" i="131"/>
  <c r="E1" i="131"/>
  <c r="G1" i="93"/>
  <c r="F1" i="93"/>
  <c r="G1" i="45"/>
  <c r="G1" i="106"/>
  <c r="F1" i="106"/>
  <c r="G1" i="36"/>
  <c r="F1" i="36"/>
  <c r="H1" i="93" l="1"/>
  <c r="H1" i="106"/>
  <c r="G1" i="131"/>
  <c r="H1" i="36"/>
  <c r="F1" i="45"/>
  <c r="H1" i="45" s="1"/>
  <c r="G1" i="135"/>
  <c r="F1" i="135"/>
  <c r="H1" i="135" l="1"/>
  <c r="G1" i="90"/>
  <c r="F1" i="90"/>
  <c r="G1" i="37"/>
  <c r="F1" i="37"/>
  <c r="F1" i="137"/>
  <c r="E1" i="137"/>
  <c r="G1" i="82"/>
  <c r="F1" i="82"/>
  <c r="H1" i="37" l="1"/>
  <c r="H1" i="90"/>
  <c r="G1" i="137"/>
  <c r="H1" i="82"/>
  <c r="F1" i="136"/>
  <c r="E1" i="136"/>
  <c r="F1" i="43"/>
  <c r="E1" i="43" l="1"/>
  <c r="G1" i="43" s="1"/>
  <c r="G1" i="136"/>
  <c r="F1" i="42" l="1"/>
  <c r="E1" i="42" l="1"/>
  <c r="G1" i="42" s="1"/>
  <c r="G1" i="44"/>
  <c r="F1" i="44"/>
  <c r="H1" i="44" l="1"/>
  <c r="G5" i="87"/>
  <c r="F1" i="87"/>
  <c r="E1" i="87"/>
  <c r="G1" i="95"/>
  <c r="G1" i="91"/>
  <c r="F1" i="91"/>
  <c r="H1" i="95" l="1"/>
  <c r="H1" i="91"/>
  <c r="G1" i="87"/>
  <c r="F1" i="88"/>
  <c r="G1" i="88"/>
  <c r="H1" i="88" l="1"/>
  <c r="F1" i="126"/>
  <c r="G1" i="126"/>
  <c r="G1" i="35"/>
  <c r="F1" i="35"/>
  <c r="H1" i="126" l="1"/>
  <c r="H1" i="35"/>
  <c r="F1" i="122"/>
  <c r="E1" i="122"/>
  <c r="G1" i="122" l="1"/>
  <c r="G1" i="129"/>
  <c r="F1" i="129" l="1"/>
  <c r="F1" i="66"/>
  <c r="E1" i="66"/>
  <c r="G1" i="66" l="1"/>
  <c r="H1" i="129"/>
  <c r="F1" i="86"/>
  <c r="G1" i="86"/>
  <c r="E1" i="107"/>
  <c r="F1" i="29"/>
  <c r="E1" i="29"/>
  <c r="G1" i="59"/>
  <c r="F1" i="59"/>
  <c r="E1" i="56"/>
  <c r="D1" i="56"/>
  <c r="G1" i="24"/>
  <c r="H1" i="59" l="1"/>
  <c r="F1" i="56"/>
  <c r="H1" i="86"/>
  <c r="F1" i="24"/>
  <c r="H1" i="24" s="1"/>
  <c r="G1" i="29"/>
  <c r="G1" i="107"/>
  <c r="F1" i="120" l="1"/>
  <c r="E1" i="120"/>
  <c r="G1" i="85"/>
  <c r="F1" i="85"/>
  <c r="F1" i="98"/>
  <c r="G1" i="21"/>
  <c r="E1" i="57"/>
  <c r="D1" i="57"/>
  <c r="H1" i="21" l="1"/>
  <c r="G1" i="98"/>
  <c r="F1" i="57"/>
  <c r="G1" i="120"/>
  <c r="H1" i="85"/>
  <c r="G1" i="117"/>
  <c r="H1" i="117" l="1"/>
  <c r="F1" i="132" l="1"/>
  <c r="G1" i="99"/>
  <c r="G1" i="132" l="1"/>
  <c r="H1" i="99"/>
  <c r="G1" i="125"/>
  <c r="G1" i="18"/>
  <c r="G1" i="16"/>
  <c r="H1" i="125" l="1"/>
  <c r="H1" i="16"/>
  <c r="F1" i="101"/>
  <c r="G1" i="101" l="1"/>
  <c r="H1" i="18"/>
  <c r="G1" i="116"/>
  <c r="F1" i="121"/>
  <c r="H1" i="116" l="1"/>
  <c r="G1" i="121"/>
  <c r="G1" i="63" l="1"/>
  <c r="G1" i="124" l="1"/>
  <c r="G1" i="115"/>
  <c r="E1" i="14"/>
  <c r="F1" i="14"/>
  <c r="G1" i="15"/>
  <c r="G1" i="51"/>
  <c r="F1" i="51"/>
  <c r="G1" i="119"/>
  <c r="H1" i="119" l="1"/>
  <c r="H1" i="115"/>
  <c r="H1" i="15"/>
  <c r="G1" i="14"/>
  <c r="H1" i="124"/>
  <c r="H1" i="63"/>
  <c r="H1" i="51"/>
  <c r="G1" i="118"/>
  <c r="H1" i="118" l="1"/>
  <c r="G1" i="133"/>
  <c r="G1" i="54"/>
  <c r="F1" i="102"/>
  <c r="F1" i="13"/>
  <c r="G1" i="12"/>
  <c r="H1" i="54" l="1"/>
  <c r="H1" i="12"/>
  <c r="G1" i="102"/>
  <c r="H1" i="133"/>
  <c r="E1" i="13"/>
  <c r="G1" i="112"/>
  <c r="H1" i="112" l="1"/>
  <c r="G1" i="13"/>
  <c r="F1" i="8"/>
  <c r="G1" i="100"/>
  <c r="G1" i="8" l="1"/>
  <c r="H1" i="100"/>
  <c r="G1" i="114" l="1"/>
  <c r="H1" i="114" l="1"/>
  <c r="F1" i="110"/>
  <c r="G1" i="110" l="1"/>
  <c r="G1" i="103"/>
  <c r="F1" i="11"/>
  <c r="H1" i="103" l="1"/>
  <c r="G1" i="11"/>
  <c r="G1" i="113"/>
  <c r="H1" i="113" l="1"/>
  <c r="G1" i="7"/>
  <c r="F1" i="2"/>
  <c r="F1" i="6"/>
  <c r="G1" i="2" l="1"/>
  <c r="G1" i="6"/>
  <c r="H1" i="7"/>
  <c r="G1" i="73" l="1"/>
  <c r="F1" i="5"/>
  <c r="H1" i="73" l="1"/>
  <c r="G1" i="5"/>
  <c r="G1" i="60"/>
  <c r="F1" i="60"/>
  <c r="H1" i="60" l="1"/>
  <c r="F1" i="92"/>
  <c r="G1" i="105"/>
  <c r="F1" i="105"/>
  <c r="G1" i="92" l="1"/>
  <c r="H1" i="105"/>
  <c r="G1" i="123"/>
  <c r="G1" i="84"/>
  <c r="H1" i="123" l="1"/>
  <c r="G1" i="89" l="1"/>
  <c r="G1" i="97"/>
  <c r="F1" i="64"/>
  <c r="E1" i="64"/>
  <c r="H1" i="89" l="1"/>
  <c r="G1" i="64"/>
  <c r="F1" i="97"/>
  <c r="G1" i="1"/>
  <c r="F1" i="1" l="1"/>
  <c r="H1" i="1" s="1"/>
  <c r="H1" i="97"/>
  <c r="G6" i="87"/>
  <c r="G7" i="87" s="1"/>
  <c r="G8" i="87" s="1"/>
  <c r="G9" i="87" s="1"/>
  <c r="G1" i="128" l="1"/>
  <c r="H1" i="128" s="1"/>
  <c r="F1" i="84" l="1"/>
  <c r="H1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Saddique Traders</author>
  </authors>
  <commentList>
    <comment ref="H24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Saddique Traders: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 Ali</author>
  </authors>
  <commentList>
    <comment ref="J240" authorId="0" shapeId="0" xr:uid="{BDBD35CA-F257-45A1-A66F-08E6363548FA}">
      <text>
        <r>
          <rPr>
            <b/>
            <sz val="9"/>
            <color indexed="81"/>
            <rFont val="Tahoma"/>
            <family val="2"/>
          </rPr>
          <t>Sabir Ali: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Sabir Ali Siddiqui</author>
  </authors>
  <commentList>
    <comment ref="N3" authorId="0" shapeId="0" xr:uid="{00000000-0006-0000-4E00-000001000000}">
      <text>
        <r>
          <rPr>
            <b/>
            <sz val="9"/>
            <color indexed="81"/>
            <rFont val="Tahoma"/>
            <family val="2"/>
          </rPr>
          <t>Sabir Ali Siddiqui: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<sst xmlns="http://schemas.openxmlformats.org/spreadsheetml/2006/main" count="1085" uniqueCount="206">
  <si>
    <t xml:space="preserve">  DATE</t>
  </si>
  <si>
    <t xml:space="preserve">   V.#</t>
  </si>
  <si>
    <t xml:space="preserve">    DETAIL</t>
  </si>
  <si>
    <t>RATE</t>
  </si>
  <si>
    <t xml:space="preserve">  DEBIT</t>
  </si>
  <si>
    <t xml:space="preserve">  CREDIT</t>
  </si>
  <si>
    <t>BALANCE</t>
  </si>
  <si>
    <t xml:space="preserve">     DETAIL</t>
  </si>
  <si>
    <t xml:space="preserve">       DETAIL</t>
  </si>
  <si>
    <t xml:space="preserve">   CREDIT</t>
  </si>
  <si>
    <t xml:space="preserve">    DEBIT</t>
  </si>
  <si>
    <t xml:space="preserve">   DEBIT</t>
  </si>
  <si>
    <t xml:space="preserve">        DETAIL</t>
  </si>
  <si>
    <t xml:space="preserve">    CREDIT</t>
  </si>
  <si>
    <r>
      <rPr>
        <sz val="16"/>
        <color theme="1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 xml:space="preserve">  DETAIL</t>
    </r>
  </si>
  <si>
    <t xml:space="preserve"> DATE</t>
  </si>
  <si>
    <t xml:space="preserve">  V.#</t>
  </si>
  <si>
    <t xml:space="preserve">   DETAIL</t>
  </si>
  <si>
    <t xml:space="preserve"> RATE</t>
  </si>
  <si>
    <r>
      <rPr>
        <b/>
        <sz val="2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 V.#</t>
    </r>
  </si>
  <si>
    <t>MUKTAR.COMETEE</t>
  </si>
  <si>
    <t>DATE</t>
  </si>
  <si>
    <t>V#NO</t>
  </si>
  <si>
    <t>DETAIL</t>
  </si>
  <si>
    <t>DEBIT</t>
  </si>
  <si>
    <t>CREDIT</t>
  </si>
  <si>
    <t>PERTICULAR</t>
  </si>
  <si>
    <t>IDEAL</t>
  </si>
  <si>
    <t>AFZAL</t>
  </si>
  <si>
    <t>RIAZ   SONS</t>
  </si>
  <si>
    <t>RIAZ  SONS</t>
  </si>
  <si>
    <t>TARIQ  PLASTIC</t>
  </si>
  <si>
    <t>V.NO</t>
  </si>
  <si>
    <t>SUN  PLASTIC   PERVAIZ</t>
  </si>
  <si>
    <t>IMTIAZ TMR MKT</t>
  </si>
  <si>
    <t>ABID PLASTIC</t>
  </si>
  <si>
    <t>ALI PLASTIC</t>
  </si>
  <si>
    <t xml:space="preserve">MUKTAR  </t>
  </si>
  <si>
    <t>V;NO</t>
  </si>
  <si>
    <t>RUBANI PLASTIC</t>
  </si>
  <si>
    <t>MOHSIN</t>
  </si>
  <si>
    <t>PLASTIC CENTER</t>
  </si>
  <si>
    <t>PAK NOORANI</t>
  </si>
  <si>
    <t>PERTICULR</t>
  </si>
  <si>
    <t>SH;DAWOOD</t>
  </si>
  <si>
    <t>PRINCE TRADERS</t>
  </si>
  <si>
    <t>PAK PLASTIC</t>
  </si>
  <si>
    <t>CARVAN TRADERS</t>
  </si>
  <si>
    <t>PERTICULARS</t>
  </si>
  <si>
    <t xml:space="preserve">CREDIT </t>
  </si>
  <si>
    <t>MAPCO</t>
  </si>
  <si>
    <t>PERTICUR</t>
  </si>
  <si>
    <t>PERTIVULAR</t>
  </si>
  <si>
    <t>ANMOL PLASTIC</t>
  </si>
  <si>
    <t>AZIZ</t>
  </si>
  <si>
    <t>HAMZA PLASTIC</t>
  </si>
  <si>
    <t>JUNAID PLASTIC</t>
  </si>
  <si>
    <t>KOHINOOR</t>
  </si>
  <si>
    <t>KAMRAN KAIN HOUSE</t>
  </si>
  <si>
    <t>MOON PLASTIC</t>
  </si>
  <si>
    <t>M  S  PLASTIC</t>
  </si>
  <si>
    <t>ROYAL PLASTIC</t>
  </si>
  <si>
    <t>SAEED SAMANABAD</t>
  </si>
  <si>
    <t>ASIF</t>
  </si>
  <si>
    <t>OUTSTANDING BANK PAYMENT</t>
  </si>
  <si>
    <t>L/C NO</t>
  </si>
  <si>
    <t>DUE DATE</t>
  </si>
  <si>
    <t>OPENING DATE</t>
  </si>
  <si>
    <t>ITEM</t>
  </si>
  <si>
    <t>TTL DOLLARS</t>
  </si>
  <si>
    <t>FILE NO</t>
  </si>
  <si>
    <t>REC</t>
  </si>
  <si>
    <t>CHQ;DATE</t>
  </si>
  <si>
    <t>CHQ ;DATE</t>
  </si>
  <si>
    <t>CHQ DATE</t>
  </si>
  <si>
    <t>ISHAQ</t>
  </si>
  <si>
    <t>chq date</t>
  </si>
  <si>
    <t>chq/date</t>
  </si>
  <si>
    <t>CHTEQ DATE</t>
  </si>
  <si>
    <t>01.01.2013</t>
  </si>
  <si>
    <t>BAL  B,F</t>
  </si>
  <si>
    <t>05.01.2013</t>
  </si>
  <si>
    <t>08.01.2013</t>
  </si>
  <si>
    <t>400  BAG  INVOICE</t>
  </si>
  <si>
    <t>15.01.2013</t>
  </si>
  <si>
    <t xml:space="preserve">   V.NO</t>
  </si>
  <si>
    <t>HAJI BROS</t>
  </si>
  <si>
    <t>BANK AL HABIB</t>
  </si>
  <si>
    <t>ASGHAR</t>
  </si>
  <si>
    <t>RASHEED  PACKAGES</t>
  </si>
  <si>
    <t>MUDASAR  N  N</t>
  </si>
  <si>
    <t>ALI  [KH  HASAN]</t>
  </si>
  <si>
    <t>MUBASHAR SIDDIQUI</t>
  </si>
  <si>
    <t>V NO</t>
  </si>
  <si>
    <t>BASIT MUNIR</t>
  </si>
  <si>
    <t>ABL LKR DEPOSIT</t>
  </si>
  <si>
    <t>IMPORT</t>
  </si>
  <si>
    <t>AMIR CHEEMA gujrat</t>
  </si>
  <si>
    <t>ASHRAF REF ASIF HASAN</t>
  </si>
  <si>
    <t>AHY</t>
  </si>
  <si>
    <t>0300    8628594</t>
  </si>
  <si>
    <t>TAXO POLY</t>
  </si>
  <si>
    <t>AHSAN</t>
  </si>
  <si>
    <t>SABIR  SHAHDARA</t>
  </si>
  <si>
    <t>0321   9449131    NABEEL</t>
  </si>
  <si>
    <t>ALFATAH</t>
  </si>
  <si>
    <t>UMAIR 0322 400211</t>
  </si>
  <si>
    <t>ASIF (HASAN PLASTIC)</t>
  </si>
  <si>
    <t>FAISAL DAWOOD</t>
  </si>
  <si>
    <t>FINE BILLO</t>
  </si>
  <si>
    <t>WAQAS PLASTIC</t>
  </si>
  <si>
    <t>NASIR  REF  FATHER</t>
  </si>
  <si>
    <t>ASLAM  REF ASIF HASAN PLASTIC</t>
  </si>
  <si>
    <t>SHABEER</t>
  </si>
  <si>
    <t>JAVED  REF   ASIF HASAN PLASTIC</t>
  </si>
  <si>
    <t>KAKA  M S</t>
  </si>
  <si>
    <t>LUCKY  TRADERS</t>
  </si>
  <si>
    <t>MASTER  LATIF</t>
  </si>
  <si>
    <t>KO NOOR   ALI</t>
  </si>
  <si>
    <t>S A S</t>
  </si>
  <si>
    <t>TARIQ PLASTIC</t>
  </si>
  <si>
    <t>RIAZ SONS</t>
  </si>
  <si>
    <t>TAXO</t>
  </si>
  <si>
    <t>ALFALAH BANK</t>
  </si>
  <si>
    <t>MARGEN ACCOUNT</t>
  </si>
  <si>
    <t>MAJID LIBERTY</t>
  </si>
  <si>
    <t>AHSAN   SWAT</t>
  </si>
  <si>
    <t>HAJI SONS</t>
  </si>
  <si>
    <t>TAHIR RASHEED</t>
  </si>
  <si>
    <t>ASHRAF BUND ROAD</t>
  </si>
  <si>
    <t>K PACK</t>
  </si>
  <si>
    <t>TTL  PUR    30750   BAGS</t>
  </si>
  <si>
    <t>BILAL SB</t>
  </si>
  <si>
    <t xml:space="preserve"> </t>
  </si>
  <si>
    <t>SAJID PLASTIC</t>
  </si>
  <si>
    <t>DILBAR PLASTIC</t>
  </si>
  <si>
    <t>BURAWALA</t>
  </si>
  <si>
    <t>REF  PAK PLASTIC</t>
  </si>
  <si>
    <t>0300   6993336</t>
  </si>
  <si>
    <t>FINE  PLASTIC</t>
  </si>
  <si>
    <t>SIDD TRADER</t>
  </si>
  <si>
    <t>IRFAN</t>
  </si>
  <si>
    <t>WAQAS  PLSTIC</t>
  </si>
  <si>
    <t>WAQAS</t>
  </si>
  <si>
    <t>0321  4128080</t>
  </si>
  <si>
    <t>0300  8036307</t>
  </si>
  <si>
    <t>02.05.2023</t>
  </si>
  <si>
    <t>BF</t>
  </si>
  <si>
    <t>PENDING PAYMENT</t>
  </si>
  <si>
    <t>AROUND 26.06.2022</t>
  </si>
  <si>
    <t>RS..146096</t>
  </si>
  <si>
    <t>NABEEL</t>
  </si>
  <si>
    <t>N  N  PLASTIC</t>
  </si>
  <si>
    <t>NAVEED</t>
  </si>
  <si>
    <t xml:space="preserve">SUN  </t>
  </si>
  <si>
    <t>OLMPIA  CASH</t>
  </si>
  <si>
    <t>LUCKY</t>
  </si>
  <si>
    <t>MALIK INDUSTERY</t>
  </si>
  <si>
    <t>FAISAL BANK</t>
  </si>
  <si>
    <t>HBL</t>
  </si>
  <si>
    <t>ZULFQARNAN</t>
  </si>
  <si>
    <t>KH KHURRAM</t>
  </si>
  <si>
    <t>0321-47785333</t>
  </si>
  <si>
    <t>ASLAM ASIF</t>
  </si>
  <si>
    <t>GHAZI CENTER</t>
  </si>
  <si>
    <t>LHR  POLY</t>
  </si>
  <si>
    <t>SOOFI  PLASTIC</t>
  </si>
  <si>
    <t>04.12.2023</t>
  </si>
  <si>
    <t>SURI CHEMICAL</t>
  </si>
  <si>
    <t>SH  SABIR   GROUP</t>
  </si>
  <si>
    <t>USMAN  CALPET</t>
  </si>
  <si>
    <t>KH GOHAR</t>
  </si>
  <si>
    <t>ROSHAN PVC</t>
  </si>
  <si>
    <t>MAMU BASHARAT</t>
  </si>
  <si>
    <t>HAMZA PACKAGES</t>
  </si>
  <si>
    <t>AZEEM CHAWLA</t>
  </si>
  <si>
    <t>PAK PLASTIC   CAR ACOUNT</t>
  </si>
  <si>
    <t>AQIB/REF ASIF HASAN PLASTIC</t>
  </si>
  <si>
    <t>OK</t>
  </si>
  <si>
    <t>0322-4396022</t>
  </si>
  <si>
    <t>SUPER NOORANI</t>
  </si>
  <si>
    <t>MIAN ISHFAQ REF JAVAD</t>
  </si>
  <si>
    <t>0305-4168100</t>
  </si>
  <si>
    <t>A A  JUNAID</t>
  </si>
  <si>
    <t>BLTY  13257</t>
  </si>
  <si>
    <t>AHSAN ILLAHI REF ASIF HASAN PLASTIC</t>
  </si>
  <si>
    <t>JE TOUR</t>
  </si>
  <si>
    <t>ZAFAR   REF  SAJID PLASTIC</t>
  </si>
  <si>
    <t>U B C</t>
  </si>
  <si>
    <t>RASHID  0300  4130400</t>
  </si>
  <si>
    <t>``</t>
  </si>
  <si>
    <t>MIAN JAVAD</t>
  </si>
  <si>
    <t>HAVEL</t>
  </si>
  <si>
    <t>Quantity</t>
  </si>
  <si>
    <t>quantity</t>
  </si>
  <si>
    <t>QUANTITY</t>
  </si>
  <si>
    <t>Quntity</t>
  </si>
  <si>
    <t>ok</t>
  </si>
  <si>
    <t>Qunatity</t>
  </si>
  <si>
    <t>UMER MAQSOOD</t>
  </si>
  <si>
    <t>AL NAFAEH (BILAL RAZI)</t>
  </si>
  <si>
    <t>AHMAD TRADERS ( Adil)</t>
  </si>
  <si>
    <r>
      <t xml:space="preserve"> </t>
    </r>
    <r>
      <rPr>
        <b/>
        <sz val="16"/>
        <color theme="1"/>
        <rFont val="Times New Roman"/>
        <family val="1"/>
      </rPr>
      <t xml:space="preserve">  V.#</t>
    </r>
  </si>
  <si>
    <r>
      <t xml:space="preserve">  </t>
    </r>
    <r>
      <rPr>
        <b/>
        <sz val="16"/>
        <color theme="1"/>
        <rFont val="Times New Roman"/>
        <family val="1"/>
      </rPr>
      <t xml:space="preserve"> DEBIT</t>
    </r>
  </si>
  <si>
    <r>
      <t xml:space="preserve"> </t>
    </r>
    <r>
      <rPr>
        <b/>
        <sz val="16"/>
        <color theme="1"/>
        <rFont val="Times New Roman"/>
        <family val="1"/>
      </rPr>
      <t>DATE</t>
    </r>
  </si>
  <si>
    <r>
      <t xml:space="preserve">       </t>
    </r>
    <r>
      <rPr>
        <b/>
        <sz val="16"/>
        <color theme="1"/>
        <rFont val="Times New Roman"/>
        <family val="1"/>
      </rPr>
      <t>DETAIL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</si>
</sst>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_-[$Rs-420]* #,##0_-;\-[$Rs-420]* #,##0_-;_-[$Rs-420]* &quot;-&quot;??_-;_-@_-"/>
    <numFmt numFmtId="165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u val="double"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u val="double"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 val="double"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Times New Roman"/>
      <family val="1"/>
    </font>
    <font>
      <u val="double"/>
      <sz val="12"/>
      <color theme="1"/>
      <name val="Times New Roman"/>
      <family val="1"/>
    </font>
    <font>
      <sz val="26"/>
      <color theme="1"/>
      <name val="Times New Roman"/>
      <family val="1"/>
    </font>
    <font>
      <b/>
      <u/>
      <sz val="20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7030A0"/>
      </right>
      <top/>
      <bottom/>
      <diagonal/>
    </border>
    <border>
      <left/>
      <right/>
      <top/>
      <bottom style="thin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10" fillId="0" borderId="0" xfId="1" applyAlignment="1" applyProtection="1"/>
    <xf numFmtId="0" fontId="1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6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4" fontId="0" fillId="4" borderId="0" xfId="0" applyNumberFormat="1" applyFill="1"/>
    <xf numFmtId="0" fontId="0" fillId="4" borderId="0" xfId="0" applyFill="1"/>
    <xf numFmtId="0" fontId="0" fillId="0" borderId="3" xfId="0" applyBorder="1" applyAlignment="1">
      <alignment horizontal="center"/>
    </xf>
    <xf numFmtId="0" fontId="0" fillId="3" borderId="3" xfId="0" applyFill="1" applyBorder="1"/>
    <xf numFmtId="14" fontId="18" fillId="0" borderId="0" xfId="0" applyNumberFormat="1" applyFont="1"/>
    <xf numFmtId="0" fontId="18" fillId="0" borderId="0" xfId="0" applyFont="1" applyAlignment="1">
      <alignment horizontal="center"/>
    </xf>
    <xf numFmtId="14" fontId="20" fillId="0" borderId="0" xfId="0" applyNumberFormat="1" applyFont="1"/>
    <xf numFmtId="165" fontId="0" fillId="0" borderId="0" xfId="2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165" fontId="25" fillId="0" borderId="0" xfId="2" applyNumberFormat="1" applyFont="1"/>
    <xf numFmtId="14" fontId="25" fillId="0" borderId="0" xfId="0" applyNumberFormat="1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165" fontId="25" fillId="4" borderId="0" xfId="2" applyNumberFormat="1" applyFont="1" applyFill="1"/>
    <xf numFmtId="0" fontId="25" fillId="5" borderId="0" xfId="0" applyFont="1" applyFill="1"/>
    <xf numFmtId="165" fontId="25" fillId="5" borderId="0" xfId="2" applyNumberFormat="1" applyFont="1" applyFill="1"/>
    <xf numFmtId="14" fontId="25" fillId="0" borderId="3" xfId="0" applyNumberFormat="1" applyFont="1" applyBorder="1"/>
    <xf numFmtId="0" fontId="25" fillId="0" borderId="3" xfId="0" applyFont="1" applyBorder="1"/>
    <xf numFmtId="165" fontId="25" fillId="0" borderId="3" xfId="2" applyNumberFormat="1" applyFont="1" applyBorder="1"/>
    <xf numFmtId="14" fontId="25" fillId="3" borderId="0" xfId="0" applyNumberFormat="1" applyFont="1" applyFill="1"/>
    <xf numFmtId="0" fontId="25" fillId="3" borderId="3" xfId="0" applyFont="1" applyFill="1" applyBorder="1"/>
    <xf numFmtId="165" fontId="25" fillId="3" borderId="3" xfId="2" applyNumberFormat="1" applyFont="1" applyFill="1" applyBorder="1"/>
    <xf numFmtId="0" fontId="33" fillId="0" borderId="0" xfId="0" applyFont="1"/>
    <xf numFmtId="0" fontId="34" fillId="0" borderId="0" xfId="0" applyFont="1"/>
    <xf numFmtId="0" fontId="35" fillId="0" borderId="0" xfId="0" applyFont="1"/>
    <xf numFmtId="17" fontId="25" fillId="0" borderId="0" xfId="0" applyNumberFormat="1" applyFont="1"/>
    <xf numFmtId="0" fontId="36" fillId="0" borderId="0" xfId="0" applyFont="1"/>
    <xf numFmtId="164" fontId="25" fillId="0" borderId="0" xfId="0" applyNumberFormat="1" applyFont="1"/>
    <xf numFmtId="0" fontId="25" fillId="0" borderId="0" xfId="0" quotePrefix="1" applyFont="1"/>
    <xf numFmtId="0" fontId="37" fillId="0" borderId="0" xfId="0" applyFont="1"/>
    <xf numFmtId="165" fontId="37" fillId="0" borderId="0" xfId="2" applyNumberFormat="1" applyFont="1"/>
    <xf numFmtId="14" fontId="37" fillId="0" borderId="0" xfId="0" applyNumberFormat="1" applyFont="1"/>
    <xf numFmtId="0" fontId="38" fillId="0" borderId="0" xfId="0" applyFont="1"/>
    <xf numFmtId="0" fontId="39" fillId="0" borderId="0" xfId="0" applyFont="1"/>
    <xf numFmtId="0" fontId="40" fillId="0" borderId="2" xfId="0" applyFont="1" applyBorder="1"/>
    <xf numFmtId="0" fontId="37" fillId="0" borderId="1" xfId="0" applyFont="1" applyBorder="1"/>
    <xf numFmtId="0" fontId="41" fillId="0" borderId="0" xfId="0" applyFont="1"/>
    <xf numFmtId="165" fontId="27" fillId="0" borderId="0" xfId="2" applyNumberFormat="1" applyFont="1"/>
    <xf numFmtId="0" fontId="25" fillId="2" borderId="0" xfId="0" applyFont="1" applyFill="1"/>
    <xf numFmtId="0" fontId="42" fillId="0" borderId="0" xfId="0" applyFont="1"/>
    <xf numFmtId="6" fontId="25" fillId="0" borderId="0" xfId="0" applyNumberFormat="1" applyFont="1"/>
    <xf numFmtId="0" fontId="43" fillId="0" borderId="0" xfId="0" applyFont="1"/>
    <xf numFmtId="14" fontId="25" fillId="4" borderId="0" xfId="0" applyNumberFormat="1" applyFont="1" applyFill="1"/>
    <xf numFmtId="0" fontId="25" fillId="4" borderId="0" xfId="0" applyFont="1" applyFill="1"/>
    <xf numFmtId="17" fontId="44" fillId="0" borderId="0" xfId="0" applyNumberFormat="1" applyFont="1"/>
    <xf numFmtId="16" fontId="25" fillId="0" borderId="0" xfId="0" applyNumberFormat="1" applyFont="1"/>
    <xf numFmtId="16" fontId="44" fillId="0" borderId="0" xfId="0" applyNumberFormat="1" applyFont="1"/>
    <xf numFmtId="1" fontId="25" fillId="0" borderId="0" xfId="0" applyNumberFormat="1" applyFont="1"/>
    <xf numFmtId="165" fontId="30" fillId="0" borderId="0" xfId="2" applyNumberFormat="1" applyFont="1"/>
    <xf numFmtId="0" fontId="36" fillId="0" borderId="0" xfId="0" applyFont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st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7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0.85546875" style="33" customWidth="1"/>
    <col min="2" max="2" width="7.42578125" style="33" bestFit="1" customWidth="1"/>
    <col min="3" max="3" width="29.5703125" style="33" bestFit="1" customWidth="1"/>
    <col min="4" max="4" width="7.7109375" style="33" bestFit="1" customWidth="1"/>
    <col min="5" max="5" width="7.7109375" style="33" customWidth="1"/>
    <col min="6" max="6" width="11.28515625" style="34" bestFit="1" customWidth="1"/>
    <col min="7" max="7" width="12.5703125" style="34" bestFit="1" customWidth="1"/>
    <col min="8" max="8" width="12" style="33" bestFit="1" customWidth="1"/>
    <col min="9" max="9" width="11.5703125" style="33" customWidth="1"/>
    <col min="10" max="10" width="16.7109375" style="33" customWidth="1"/>
    <col min="11" max="16384" width="8.85546875" style="33"/>
  </cols>
  <sheetData>
    <row r="1" spans="1:8" ht="27" x14ac:dyDescent="0.35">
      <c r="A1" s="56" t="s">
        <v>88</v>
      </c>
      <c r="C1" s="33">
        <v>3</v>
      </c>
      <c r="F1" s="34">
        <f>SUM(F4:F1048576)</f>
        <v>0</v>
      </c>
      <c r="G1" s="34">
        <f>SUM(G4:G1048576)</f>
        <v>0</v>
      </c>
      <c r="H1" s="33">
        <f>F1-G1</f>
        <v>0</v>
      </c>
    </row>
    <row r="2" spans="1:8" x14ac:dyDescent="0.25">
      <c r="A2" s="33" t="s">
        <v>0</v>
      </c>
      <c r="B2" s="33" t="s">
        <v>1</v>
      </c>
      <c r="C2" s="33" t="s">
        <v>2</v>
      </c>
      <c r="D2" s="33" t="s">
        <v>3</v>
      </c>
      <c r="E2" s="33" t="s">
        <v>193</v>
      </c>
      <c r="F2" s="34" t="s">
        <v>4</v>
      </c>
      <c r="G2" s="34" t="s">
        <v>5</v>
      </c>
      <c r="H2" s="33" t="s">
        <v>6</v>
      </c>
    </row>
    <row r="4" spans="1:8" x14ac:dyDescent="0.25">
      <c r="A4" s="35"/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ht="18.75" customHeight="1" x14ac:dyDescent="0.25">
      <c r="A12" s="35"/>
    </row>
    <row r="13" spans="1:8" ht="21" customHeight="1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  <c r="I19" s="33" t="s">
        <v>197</v>
      </c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ht="18" customHeight="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8" ht="17.25" customHeight="1" x14ac:dyDescent="0.25"/>
    <row r="77" ht="16.899999999999999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1522"/>
  <sheetViews>
    <sheetView tabSelected="1" zoomScale="190" zoomScaleNormal="190" workbookViewId="0">
      <selection activeCell="A5" sqref="A5"/>
    </sheetView>
  </sheetViews>
  <sheetFormatPr defaultColWidth="8.85546875" defaultRowHeight="15" x14ac:dyDescent="0.25"/>
  <cols>
    <col min="1" max="1" width="10" style="33" customWidth="1"/>
    <col min="2" max="2" width="7.140625" style="33" customWidth="1"/>
    <col min="3" max="3" width="24" style="33" bestFit="1" customWidth="1"/>
    <col min="4" max="4" width="7.7109375" style="33" customWidth="1"/>
    <col min="5" max="5" width="8" style="33" bestFit="1" customWidth="1"/>
    <col min="6" max="6" width="11.7109375" style="34" bestFit="1" customWidth="1"/>
    <col min="7" max="7" width="12.85546875" style="34" customWidth="1"/>
    <col min="8" max="8" width="11.7109375" style="34" bestFit="1" customWidth="1"/>
    <col min="9" max="9" width="3" style="33" bestFit="1" customWidth="1"/>
    <col min="10" max="10" width="17.28515625" style="33" customWidth="1"/>
    <col min="11" max="11" width="10.7109375" style="33" customWidth="1"/>
    <col min="12" max="12" width="9.7109375" style="33" bestFit="1" customWidth="1"/>
    <col min="13" max="16384" width="8.85546875" style="33"/>
  </cols>
  <sheetData>
    <row r="1" spans="1:8" ht="35.25" x14ac:dyDescent="0.5">
      <c r="A1" s="31" t="s">
        <v>102</v>
      </c>
      <c r="B1" s="31"/>
      <c r="C1" s="32" t="s">
        <v>164</v>
      </c>
      <c r="D1" s="33">
        <v>29</v>
      </c>
      <c r="F1" s="34">
        <f>SUM(F4:F1189)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43</v>
      </c>
      <c r="D3" s="33" t="s">
        <v>3</v>
      </c>
      <c r="E3" s="33" t="s">
        <v>193</v>
      </c>
      <c r="F3" s="34" t="s">
        <v>24</v>
      </c>
      <c r="G3" s="34" t="s">
        <v>25</v>
      </c>
      <c r="H3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  <c r="I29" s="33" t="s">
        <v>197</v>
      </c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7" ht="20.25" customHeight="1" x14ac:dyDescent="0.25">
      <c r="A33" s="35"/>
    </row>
    <row r="34" spans="1:7" ht="20.25" customHeight="1" x14ac:dyDescent="0.25">
      <c r="A34" s="35"/>
      <c r="G34" s="33"/>
    </row>
    <row r="35" spans="1:7" x14ac:dyDescent="0.25">
      <c r="A35" s="35"/>
    </row>
    <row r="36" spans="1:7" x14ac:dyDescent="0.25">
      <c r="A36" s="35"/>
    </row>
    <row r="37" spans="1:7" x14ac:dyDescent="0.25">
      <c r="A37" s="35"/>
    </row>
    <row r="38" spans="1:7" x14ac:dyDescent="0.25">
      <c r="A38" s="35"/>
    </row>
    <row r="39" spans="1:7" x14ac:dyDescent="0.25">
      <c r="A39" s="35"/>
    </row>
    <row r="40" spans="1:7" x14ac:dyDescent="0.25">
      <c r="A40" s="35"/>
    </row>
    <row r="41" spans="1:7" x14ac:dyDescent="0.25">
      <c r="A41" s="35"/>
    </row>
    <row r="42" spans="1:7" x14ac:dyDescent="0.25">
      <c r="A42" s="35"/>
    </row>
    <row r="43" spans="1:7" x14ac:dyDescent="0.25">
      <c r="A43" s="35"/>
    </row>
    <row r="44" spans="1:7" x14ac:dyDescent="0.25">
      <c r="A44" s="35"/>
    </row>
    <row r="45" spans="1:7" x14ac:dyDescent="0.25">
      <c r="A45" s="35"/>
    </row>
    <row r="46" spans="1:7" x14ac:dyDescent="0.25">
      <c r="A46" s="35"/>
    </row>
    <row r="47" spans="1:7" x14ac:dyDescent="0.25">
      <c r="A47" s="35"/>
    </row>
    <row r="48" spans="1:7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3" x14ac:dyDescent="0.25">
      <c r="A81" s="35"/>
    </row>
    <row r="82" spans="1:3" x14ac:dyDescent="0.25">
      <c r="A82" s="35"/>
    </row>
    <row r="83" spans="1:3" x14ac:dyDescent="0.25">
      <c r="A83" s="35"/>
    </row>
    <row r="84" spans="1:3" x14ac:dyDescent="0.25">
      <c r="A84" s="35"/>
    </row>
    <row r="85" spans="1:3" ht="16.149999999999999" customHeight="1" x14ac:dyDescent="0.25">
      <c r="A85" s="35"/>
    </row>
    <row r="86" spans="1:3" x14ac:dyDescent="0.25">
      <c r="A86" s="35"/>
    </row>
    <row r="87" spans="1:3" x14ac:dyDescent="0.25">
      <c r="A87" s="35"/>
    </row>
    <row r="88" spans="1:3" x14ac:dyDescent="0.25">
      <c r="A88" s="35"/>
    </row>
    <row r="89" spans="1:3" x14ac:dyDescent="0.25">
      <c r="A89" s="35"/>
    </row>
    <row r="90" spans="1:3" x14ac:dyDescent="0.25">
      <c r="A90" s="35"/>
    </row>
    <row r="91" spans="1:3" x14ac:dyDescent="0.25">
      <c r="A91" s="35"/>
    </row>
    <row r="92" spans="1:3" x14ac:dyDescent="0.25">
      <c r="A92" s="35"/>
    </row>
    <row r="93" spans="1:3" x14ac:dyDescent="0.25">
      <c r="A93" s="35"/>
    </row>
    <row r="94" spans="1:3" x14ac:dyDescent="0.25">
      <c r="A94" s="35"/>
    </row>
    <row r="95" spans="1:3" x14ac:dyDescent="0.25">
      <c r="A95" s="35"/>
    </row>
    <row r="96" spans="1:3" ht="15.75" x14ac:dyDescent="0.25">
      <c r="A96" s="35"/>
      <c r="B96" s="59"/>
      <c r="C96" s="59"/>
    </row>
    <row r="97" spans="1:8" x14ac:dyDescent="0.25">
      <c r="A97" s="35"/>
    </row>
    <row r="98" spans="1:8" x14ac:dyDescent="0.25">
      <c r="A98" s="35"/>
    </row>
    <row r="99" spans="1:8" x14ac:dyDescent="0.25">
      <c r="A99" s="35"/>
    </row>
    <row r="100" spans="1:8" x14ac:dyDescent="0.25">
      <c r="A100" s="35"/>
    </row>
    <row r="101" spans="1:8" x14ac:dyDescent="0.25">
      <c r="A101" s="35"/>
    </row>
    <row r="102" spans="1:8" x14ac:dyDescent="0.25">
      <c r="A102" s="35"/>
    </row>
    <row r="103" spans="1:8" x14ac:dyDescent="0.25">
      <c r="A103" s="35"/>
    </row>
    <row r="104" spans="1:8" x14ac:dyDescent="0.25">
      <c r="A104" s="35"/>
    </row>
    <row r="105" spans="1:8" x14ac:dyDescent="0.25">
      <c r="A105" s="35"/>
    </row>
    <row r="106" spans="1:8" x14ac:dyDescent="0.25">
      <c r="A106" s="35"/>
    </row>
    <row r="107" spans="1:8" x14ac:dyDescent="0.25">
      <c r="A107" s="35"/>
    </row>
    <row r="108" spans="1:8" x14ac:dyDescent="0.25">
      <c r="A108" s="35"/>
    </row>
    <row r="109" spans="1:8" s="36" customFormat="1" x14ac:dyDescent="0.25">
      <c r="A109" s="35"/>
      <c r="B109" s="33"/>
      <c r="C109" s="33"/>
      <c r="F109" s="34"/>
      <c r="G109" s="34"/>
      <c r="H109" s="34"/>
    </row>
    <row r="110" spans="1:8" x14ac:dyDescent="0.25">
      <c r="A110" s="35"/>
    </row>
    <row r="111" spans="1:8" x14ac:dyDescent="0.25">
      <c r="A111" s="35"/>
    </row>
    <row r="112" spans="1:8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9" x14ac:dyDescent="0.25">
      <c r="A145" s="35"/>
    </row>
    <row r="146" spans="1:9" x14ac:dyDescent="0.25">
      <c r="A146" s="35"/>
    </row>
    <row r="147" spans="1:9" x14ac:dyDescent="0.25">
      <c r="A147" s="35"/>
    </row>
    <row r="148" spans="1:9" x14ac:dyDescent="0.25">
      <c r="A148" s="35"/>
    </row>
    <row r="149" spans="1:9" x14ac:dyDescent="0.25">
      <c r="A149" s="35"/>
      <c r="I149" s="33" t="s">
        <v>197</v>
      </c>
    </row>
    <row r="150" spans="1:9" x14ac:dyDescent="0.25">
      <c r="A150" s="35"/>
    </row>
    <row r="151" spans="1:9" x14ac:dyDescent="0.25">
      <c r="A151" s="35"/>
    </row>
    <row r="152" spans="1:9" x14ac:dyDescent="0.25">
      <c r="A152" s="35"/>
    </row>
    <row r="153" spans="1:9" x14ac:dyDescent="0.25">
      <c r="A153" s="35"/>
    </row>
    <row r="154" spans="1:9" x14ac:dyDescent="0.25">
      <c r="A154" s="35"/>
    </row>
    <row r="155" spans="1:9" x14ac:dyDescent="0.25">
      <c r="A155" s="35"/>
    </row>
    <row r="156" spans="1:9" x14ac:dyDescent="0.25">
      <c r="A156" s="35"/>
    </row>
    <row r="157" spans="1:9" x14ac:dyDescent="0.25">
      <c r="A157" s="35"/>
    </row>
    <row r="158" spans="1:9" x14ac:dyDescent="0.25">
      <c r="A158" s="35"/>
    </row>
    <row r="159" spans="1:9" x14ac:dyDescent="0.25">
      <c r="A159" s="35"/>
    </row>
    <row r="160" spans="1:9" x14ac:dyDescent="0.25">
      <c r="A160" s="35"/>
    </row>
    <row r="161" spans="1:6" x14ac:dyDescent="0.25">
      <c r="A161" s="35"/>
    </row>
    <row r="162" spans="1:6" x14ac:dyDescent="0.25">
      <c r="A162" s="35"/>
    </row>
    <row r="163" spans="1:6" x14ac:dyDescent="0.25">
      <c r="A163" s="35"/>
    </row>
    <row r="164" spans="1:6" x14ac:dyDescent="0.25">
      <c r="A164" s="35"/>
    </row>
    <row r="165" spans="1:6" x14ac:dyDescent="0.25">
      <c r="A165" s="35"/>
    </row>
    <row r="166" spans="1:6" x14ac:dyDescent="0.25">
      <c r="A166" s="35"/>
    </row>
    <row r="167" spans="1:6" x14ac:dyDescent="0.25">
      <c r="A167" s="35"/>
    </row>
    <row r="168" spans="1:6" x14ac:dyDescent="0.25">
      <c r="A168" s="35"/>
    </row>
    <row r="169" spans="1:6" x14ac:dyDescent="0.25">
      <c r="A169" s="35"/>
      <c r="F169" s="33"/>
    </row>
    <row r="170" spans="1:6" x14ac:dyDescent="0.25">
      <c r="A170" s="35"/>
      <c r="F170" s="33"/>
    </row>
    <row r="171" spans="1:6" x14ac:dyDescent="0.25">
      <c r="A171" s="35"/>
    </row>
    <row r="172" spans="1:6" x14ac:dyDescent="0.25">
      <c r="A172" s="35"/>
    </row>
    <row r="173" spans="1:6" x14ac:dyDescent="0.25">
      <c r="A173" s="35"/>
    </row>
    <row r="174" spans="1:6" x14ac:dyDescent="0.25">
      <c r="A174" s="35"/>
    </row>
    <row r="175" spans="1:6" x14ac:dyDescent="0.25">
      <c r="A175" s="35"/>
    </row>
    <row r="176" spans="1:6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ht="16.899999999999999" customHeight="1" x14ac:dyDescent="0.25">
      <c r="A206" s="35"/>
    </row>
    <row r="207" spans="1:1" x14ac:dyDescent="0.25">
      <c r="A207" s="35"/>
    </row>
    <row r="208" spans="1:1" x14ac:dyDescent="0.25">
      <c r="A208" s="35"/>
    </row>
    <row r="209" spans="1:7" x14ac:dyDescent="0.25">
      <c r="A209" s="35"/>
    </row>
    <row r="210" spans="1:7" x14ac:dyDescent="0.25">
      <c r="A210" s="35"/>
      <c r="F210" s="33"/>
      <c r="G210" s="33"/>
    </row>
    <row r="211" spans="1:7" ht="15.75" x14ac:dyDescent="0.25">
      <c r="A211" s="35"/>
      <c r="B211" s="59"/>
      <c r="D211" s="59"/>
      <c r="E211" s="59"/>
      <c r="G211" s="60"/>
    </row>
    <row r="212" spans="1:7" x14ac:dyDescent="0.25">
      <c r="A212" s="35"/>
    </row>
    <row r="213" spans="1:7" x14ac:dyDescent="0.25">
      <c r="A213" s="35"/>
    </row>
    <row r="214" spans="1:7" ht="16.149999999999999" customHeight="1" x14ac:dyDescent="0.25">
      <c r="A214" s="35"/>
    </row>
    <row r="215" spans="1:7" x14ac:dyDescent="0.25">
      <c r="A215" s="35"/>
    </row>
    <row r="216" spans="1:7" x14ac:dyDescent="0.25">
      <c r="A216" s="35"/>
    </row>
    <row r="217" spans="1:7" x14ac:dyDescent="0.25">
      <c r="A217" s="35"/>
    </row>
    <row r="218" spans="1:7" x14ac:dyDescent="0.25">
      <c r="A218" s="35"/>
    </row>
    <row r="219" spans="1:7" x14ac:dyDescent="0.25">
      <c r="A219" s="35"/>
    </row>
    <row r="220" spans="1:7" x14ac:dyDescent="0.25">
      <c r="A220" s="35"/>
    </row>
    <row r="221" spans="1:7" x14ac:dyDescent="0.25">
      <c r="A221" s="35"/>
    </row>
    <row r="222" spans="1:7" x14ac:dyDescent="0.25">
      <c r="A222" s="35"/>
    </row>
    <row r="223" spans="1:7" x14ac:dyDescent="0.25">
      <c r="A223" s="35"/>
    </row>
    <row r="224" spans="1:7" x14ac:dyDescent="0.25">
      <c r="A224" s="35"/>
    </row>
    <row r="225" spans="1:6" x14ac:dyDescent="0.25">
      <c r="A225" s="35"/>
    </row>
    <row r="226" spans="1:6" x14ac:dyDescent="0.25">
      <c r="A226" s="35"/>
    </row>
    <row r="227" spans="1:6" x14ac:dyDescent="0.25">
      <c r="A227" s="35"/>
    </row>
    <row r="228" spans="1:6" x14ac:dyDescent="0.25">
      <c r="A228" s="35"/>
    </row>
    <row r="229" spans="1:6" x14ac:dyDescent="0.25">
      <c r="A229" s="35"/>
    </row>
    <row r="230" spans="1:6" x14ac:dyDescent="0.25">
      <c r="A230" s="35"/>
    </row>
    <row r="231" spans="1:6" x14ac:dyDescent="0.25">
      <c r="A231" s="35"/>
    </row>
    <row r="232" spans="1:6" x14ac:dyDescent="0.25">
      <c r="A232" s="35"/>
    </row>
    <row r="233" spans="1:6" x14ac:dyDescent="0.25">
      <c r="A233" s="35"/>
    </row>
    <row r="234" spans="1:6" x14ac:dyDescent="0.25">
      <c r="A234" s="35"/>
    </row>
    <row r="235" spans="1:6" x14ac:dyDescent="0.25">
      <c r="A235" s="35"/>
    </row>
    <row r="236" spans="1:6" x14ac:dyDescent="0.25">
      <c r="A236" s="35"/>
    </row>
    <row r="237" spans="1:6" x14ac:dyDescent="0.25">
      <c r="A237" s="72"/>
      <c r="B237" s="73"/>
      <c r="C237" s="73"/>
      <c r="D237" s="73"/>
      <c r="E237" s="73"/>
      <c r="F237" s="43"/>
    </row>
    <row r="238" spans="1:6" x14ac:dyDescent="0.25">
      <c r="A238" s="35"/>
    </row>
    <row r="239" spans="1:6" x14ac:dyDescent="0.25">
      <c r="A239" s="35"/>
    </row>
    <row r="240" spans="1:6" x14ac:dyDescent="0.25">
      <c r="A240" s="35"/>
    </row>
    <row r="241" spans="1:7" x14ac:dyDescent="0.25">
      <c r="A241" s="35"/>
    </row>
    <row r="242" spans="1:7" x14ac:dyDescent="0.25">
      <c r="A242" s="35"/>
    </row>
    <row r="243" spans="1:7" x14ac:dyDescent="0.25">
      <c r="A243" s="35"/>
    </row>
    <row r="244" spans="1:7" x14ac:dyDescent="0.25">
      <c r="A244" s="35"/>
    </row>
    <row r="245" spans="1:7" x14ac:dyDescent="0.25">
      <c r="A245" s="35"/>
    </row>
    <row r="246" spans="1:7" x14ac:dyDescent="0.25">
      <c r="A246" s="35"/>
    </row>
    <row r="247" spans="1:7" x14ac:dyDescent="0.25">
      <c r="A247" s="35"/>
    </row>
    <row r="248" spans="1:7" x14ac:dyDescent="0.25">
      <c r="A248" s="35"/>
    </row>
    <row r="249" spans="1:7" x14ac:dyDescent="0.25">
      <c r="A249" s="35"/>
    </row>
    <row r="250" spans="1:7" ht="15.75" x14ac:dyDescent="0.25">
      <c r="A250" s="35"/>
      <c r="B250" s="59"/>
      <c r="D250" s="59"/>
      <c r="E250" s="59"/>
      <c r="G250" s="60"/>
    </row>
    <row r="251" spans="1:7" x14ac:dyDescent="0.25">
      <c r="A251" s="35"/>
    </row>
    <row r="252" spans="1:7" x14ac:dyDescent="0.25">
      <c r="A252" s="35"/>
    </row>
    <row r="253" spans="1:7" x14ac:dyDescent="0.25">
      <c r="A253" s="35"/>
    </row>
    <row r="254" spans="1:7" x14ac:dyDescent="0.25">
      <c r="A254" s="35"/>
    </row>
    <row r="255" spans="1:7" x14ac:dyDescent="0.25">
      <c r="A255" s="35"/>
    </row>
    <row r="256" spans="1:7" x14ac:dyDescent="0.25">
      <c r="A256" s="35"/>
    </row>
    <row r="257" spans="1:7" x14ac:dyDescent="0.25">
      <c r="A257" s="35"/>
    </row>
    <row r="258" spans="1:7" x14ac:dyDescent="0.25">
      <c r="A258" s="35"/>
    </row>
    <row r="259" spans="1:7" x14ac:dyDescent="0.25">
      <c r="A259" s="35"/>
    </row>
    <row r="260" spans="1:7" x14ac:dyDescent="0.25">
      <c r="A260" s="35"/>
    </row>
    <row r="261" spans="1:7" x14ac:dyDescent="0.25">
      <c r="A261" s="35"/>
    </row>
    <row r="262" spans="1:7" x14ac:dyDescent="0.25">
      <c r="A262" s="35"/>
    </row>
    <row r="263" spans="1:7" x14ac:dyDescent="0.25">
      <c r="A263" s="72"/>
      <c r="B263" s="73"/>
      <c r="C263" s="73"/>
      <c r="D263" s="73"/>
      <c r="E263" s="73"/>
      <c r="F263" s="43"/>
    </row>
    <row r="264" spans="1:7" x14ac:dyDescent="0.25">
      <c r="A264" s="35"/>
    </row>
    <row r="265" spans="1:7" x14ac:dyDescent="0.25">
      <c r="A265" s="35"/>
    </row>
    <row r="266" spans="1:7" x14ac:dyDescent="0.25">
      <c r="A266" s="35"/>
    </row>
    <row r="267" spans="1:7" ht="15.75" x14ac:dyDescent="0.25">
      <c r="A267" s="35"/>
      <c r="B267" s="59"/>
      <c r="D267" s="59"/>
      <c r="E267" s="59"/>
      <c r="G267" s="60"/>
    </row>
    <row r="268" spans="1:7" ht="15.75" x14ac:dyDescent="0.25">
      <c r="A268" s="35"/>
      <c r="B268" s="59"/>
      <c r="D268" s="59"/>
      <c r="E268" s="59"/>
      <c r="G268" s="60"/>
    </row>
    <row r="269" spans="1:7" ht="15.75" x14ac:dyDescent="0.25">
      <c r="A269" s="35"/>
      <c r="G269" s="60"/>
    </row>
    <row r="270" spans="1:7" x14ac:dyDescent="0.25">
      <c r="A270" s="35"/>
    </row>
    <row r="271" spans="1:7" x14ac:dyDescent="0.25">
      <c r="A271" s="35"/>
    </row>
    <row r="272" spans="1:7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7" x14ac:dyDescent="0.25">
      <c r="A289" s="35"/>
    </row>
    <row r="290" spans="1:7" x14ac:dyDescent="0.25">
      <c r="A290" s="35"/>
    </row>
    <row r="291" spans="1:7" x14ac:dyDescent="0.25">
      <c r="A291" s="35"/>
    </row>
    <row r="292" spans="1:7" x14ac:dyDescent="0.25">
      <c r="A292" s="35"/>
    </row>
    <row r="293" spans="1:7" x14ac:dyDescent="0.25">
      <c r="A293" s="35"/>
    </row>
    <row r="294" spans="1:7" x14ac:dyDescent="0.25">
      <c r="A294" s="35"/>
    </row>
    <row r="295" spans="1:7" x14ac:dyDescent="0.25">
      <c r="A295" s="35"/>
    </row>
    <row r="296" spans="1:7" x14ac:dyDescent="0.25">
      <c r="A296" s="35"/>
    </row>
    <row r="297" spans="1:7" x14ac:dyDescent="0.25">
      <c r="A297" s="35"/>
    </row>
    <row r="298" spans="1:7" x14ac:dyDescent="0.25">
      <c r="A298" s="35"/>
    </row>
    <row r="299" spans="1:7" ht="15.75" x14ac:dyDescent="0.25">
      <c r="A299" s="35"/>
      <c r="B299" s="59"/>
      <c r="D299" s="59"/>
      <c r="E299" s="59"/>
      <c r="G299" s="60"/>
    </row>
    <row r="300" spans="1:7" x14ac:dyDescent="0.25">
      <c r="A300" s="35"/>
    </row>
    <row r="301" spans="1:7" x14ac:dyDescent="0.25">
      <c r="A301" s="35"/>
    </row>
    <row r="302" spans="1:7" x14ac:dyDescent="0.25">
      <c r="A302" s="35"/>
    </row>
    <row r="303" spans="1:7" x14ac:dyDescent="0.25">
      <c r="A303" s="35"/>
    </row>
    <row r="304" spans="1:7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  <row r="367" spans="1:1" x14ac:dyDescent="0.25">
      <c r="A367" s="35"/>
    </row>
    <row r="368" spans="1:1" x14ac:dyDescent="0.25">
      <c r="A368" s="35"/>
    </row>
    <row r="369" spans="1:1" x14ac:dyDescent="0.25">
      <c r="A369" s="35"/>
    </row>
    <row r="370" spans="1:1" x14ac:dyDescent="0.25">
      <c r="A370" s="35"/>
    </row>
    <row r="371" spans="1:1" x14ac:dyDescent="0.25">
      <c r="A371" s="35"/>
    </row>
    <row r="372" spans="1:1" x14ac:dyDescent="0.25">
      <c r="A372" s="35"/>
    </row>
    <row r="373" spans="1:1" x14ac:dyDescent="0.25">
      <c r="A373" s="35"/>
    </row>
    <row r="374" spans="1:1" x14ac:dyDescent="0.25">
      <c r="A374" s="35"/>
    </row>
    <row r="375" spans="1:1" x14ac:dyDescent="0.25">
      <c r="A375" s="35"/>
    </row>
    <row r="376" spans="1:1" x14ac:dyDescent="0.25">
      <c r="A376" s="35"/>
    </row>
    <row r="377" spans="1:1" x14ac:dyDescent="0.25">
      <c r="A377" s="35"/>
    </row>
    <row r="378" spans="1:1" x14ac:dyDescent="0.25">
      <c r="A378" s="35"/>
    </row>
    <row r="379" spans="1:1" x14ac:dyDescent="0.25">
      <c r="A379" s="35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2" x14ac:dyDescent="0.25">
      <c r="A385" s="35"/>
    </row>
    <row r="386" spans="1:12" x14ac:dyDescent="0.25">
      <c r="A386" s="35"/>
    </row>
    <row r="387" spans="1:12" x14ac:dyDescent="0.25">
      <c r="A387" s="35"/>
    </row>
    <row r="388" spans="1:12" x14ac:dyDescent="0.25">
      <c r="A388" s="35"/>
    </row>
    <row r="389" spans="1:12" x14ac:dyDescent="0.25">
      <c r="A389" s="35"/>
    </row>
    <row r="390" spans="1:12" x14ac:dyDescent="0.25">
      <c r="A390" s="35"/>
    </row>
    <row r="391" spans="1:12" x14ac:dyDescent="0.25">
      <c r="A391" s="35"/>
    </row>
    <row r="392" spans="1:12" ht="20.25" x14ac:dyDescent="0.3">
      <c r="A392" s="35"/>
      <c r="K392" s="37"/>
      <c r="L392" s="37"/>
    </row>
    <row r="393" spans="1:12" x14ac:dyDescent="0.25">
      <c r="A393" s="35"/>
    </row>
    <row r="394" spans="1:12" x14ac:dyDescent="0.25">
      <c r="A394" s="35"/>
    </row>
    <row r="395" spans="1:12" x14ac:dyDescent="0.25">
      <c r="A395" s="35"/>
    </row>
    <row r="396" spans="1:12" x14ac:dyDescent="0.25">
      <c r="A396" s="35"/>
    </row>
    <row r="397" spans="1:12" x14ac:dyDescent="0.25">
      <c r="A397" s="35"/>
    </row>
    <row r="398" spans="1:12" x14ac:dyDescent="0.25">
      <c r="A398" s="35"/>
    </row>
    <row r="399" spans="1:12" x14ac:dyDescent="0.25">
      <c r="A399" s="35"/>
    </row>
    <row r="400" spans="1:12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5" x14ac:dyDescent="0.25">
      <c r="A449" s="35"/>
    </row>
    <row r="450" spans="1:15" x14ac:dyDescent="0.25">
      <c r="A450" s="35"/>
    </row>
    <row r="451" spans="1:15" ht="20.25" x14ac:dyDescent="0.3">
      <c r="A451" s="35"/>
      <c r="M451" s="38"/>
      <c r="N451" s="38"/>
      <c r="O451" s="38"/>
    </row>
    <row r="452" spans="1:15" x14ac:dyDescent="0.25">
      <c r="A452" s="35"/>
    </row>
    <row r="453" spans="1:15" x14ac:dyDescent="0.25">
      <c r="A453" s="35"/>
    </row>
    <row r="454" spans="1:15" x14ac:dyDescent="0.25">
      <c r="A454" s="35"/>
    </row>
    <row r="455" spans="1:15" x14ac:dyDescent="0.25">
      <c r="A455" s="35"/>
    </row>
    <row r="456" spans="1:15" x14ac:dyDescent="0.25">
      <c r="A456" s="35"/>
    </row>
    <row r="457" spans="1:15" x14ac:dyDescent="0.25">
      <c r="A457" s="35"/>
    </row>
    <row r="458" spans="1:15" x14ac:dyDescent="0.25">
      <c r="A458" s="35"/>
    </row>
    <row r="459" spans="1:15" x14ac:dyDescent="0.25">
      <c r="A459" s="35"/>
    </row>
    <row r="460" spans="1:15" x14ac:dyDescent="0.25">
      <c r="A460" s="35"/>
    </row>
    <row r="461" spans="1:15" x14ac:dyDescent="0.25">
      <c r="A461" s="35"/>
    </row>
    <row r="462" spans="1:15" x14ac:dyDescent="0.25">
      <c r="A462" s="35"/>
    </row>
    <row r="463" spans="1:15" x14ac:dyDescent="0.25">
      <c r="A463" s="35"/>
    </row>
    <row r="464" spans="1:15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4" x14ac:dyDescent="0.25">
      <c r="A529" s="35"/>
    </row>
    <row r="530" spans="1:14" x14ac:dyDescent="0.25">
      <c r="A530" s="35"/>
    </row>
    <row r="531" spans="1:14" x14ac:dyDescent="0.25">
      <c r="A531" s="35"/>
    </row>
    <row r="532" spans="1:14" x14ac:dyDescent="0.25">
      <c r="A532" s="35"/>
    </row>
    <row r="533" spans="1:14" x14ac:dyDescent="0.25">
      <c r="A533" s="35"/>
    </row>
    <row r="534" spans="1:14" x14ac:dyDescent="0.25">
      <c r="A534" s="35"/>
      <c r="L534" s="35"/>
    </row>
    <row r="535" spans="1:14" x14ac:dyDescent="0.25">
      <c r="A535" s="35"/>
      <c r="L535" s="35"/>
    </row>
    <row r="536" spans="1:14" x14ac:dyDescent="0.25">
      <c r="A536" s="35"/>
      <c r="L536" s="35"/>
      <c r="N536" s="39"/>
    </row>
    <row r="537" spans="1:14" x14ac:dyDescent="0.25">
      <c r="A537" s="35"/>
      <c r="L537" s="35"/>
    </row>
    <row r="538" spans="1:14" x14ac:dyDescent="0.25">
      <c r="A538" s="35"/>
      <c r="L538" s="35"/>
    </row>
    <row r="539" spans="1:14" x14ac:dyDescent="0.25">
      <c r="A539" s="35"/>
      <c r="L539" s="35"/>
    </row>
    <row r="540" spans="1:14" x14ac:dyDescent="0.25">
      <c r="A540" s="35"/>
      <c r="L540" s="35"/>
    </row>
    <row r="541" spans="1:14" x14ac:dyDescent="0.25">
      <c r="A541" s="35"/>
      <c r="L541" s="35"/>
    </row>
    <row r="542" spans="1:14" x14ac:dyDescent="0.25">
      <c r="A542" s="35"/>
      <c r="L542" s="35"/>
    </row>
    <row r="543" spans="1:14" x14ac:dyDescent="0.25">
      <c r="A543" s="35"/>
      <c r="L543" s="35"/>
    </row>
    <row r="544" spans="1:14" x14ac:dyDescent="0.25">
      <c r="A544" s="35"/>
      <c r="L544" s="35"/>
    </row>
    <row r="545" spans="1:12" x14ac:dyDescent="0.25">
      <c r="A545" s="35"/>
      <c r="L545" s="35"/>
    </row>
    <row r="546" spans="1:12" x14ac:dyDescent="0.25">
      <c r="A546" s="35"/>
      <c r="L546" s="35"/>
    </row>
    <row r="547" spans="1:12" x14ac:dyDescent="0.25">
      <c r="A547" s="35"/>
    </row>
    <row r="548" spans="1:12" x14ac:dyDescent="0.25">
      <c r="A548" s="35"/>
    </row>
    <row r="549" spans="1:12" x14ac:dyDescent="0.25">
      <c r="A549" s="35"/>
    </row>
    <row r="550" spans="1:12" x14ac:dyDescent="0.25">
      <c r="A550" s="35"/>
    </row>
    <row r="551" spans="1:12" x14ac:dyDescent="0.25">
      <c r="A551" s="35"/>
    </row>
    <row r="552" spans="1:12" x14ac:dyDescent="0.25">
      <c r="A552" s="35"/>
    </row>
    <row r="553" spans="1:12" x14ac:dyDescent="0.25">
      <c r="A553" s="35"/>
    </row>
    <row r="554" spans="1:12" x14ac:dyDescent="0.25">
      <c r="A554" s="35"/>
    </row>
    <row r="555" spans="1:12" x14ac:dyDescent="0.25">
      <c r="A555" s="35"/>
    </row>
    <row r="556" spans="1:12" x14ac:dyDescent="0.25">
      <c r="A556" s="35"/>
    </row>
    <row r="557" spans="1:12" ht="21.75" customHeight="1" x14ac:dyDescent="0.25">
      <c r="A557" s="35"/>
      <c r="J557" s="40"/>
    </row>
    <row r="558" spans="1:12" x14ac:dyDescent="0.25">
      <c r="A558" s="35"/>
    </row>
    <row r="559" spans="1:12" x14ac:dyDescent="0.25">
      <c r="A559" s="35"/>
    </row>
    <row r="560" spans="1:12" x14ac:dyDescent="0.25">
      <c r="A560" s="35"/>
    </row>
    <row r="561" spans="1:15" x14ac:dyDescent="0.25">
      <c r="A561" s="35"/>
    </row>
    <row r="562" spans="1:15" x14ac:dyDescent="0.25">
      <c r="A562" s="35"/>
    </row>
    <row r="563" spans="1:15" x14ac:dyDescent="0.25">
      <c r="A563" s="35"/>
    </row>
    <row r="564" spans="1:15" x14ac:dyDescent="0.25">
      <c r="A564" s="35"/>
    </row>
    <row r="565" spans="1:15" x14ac:dyDescent="0.25">
      <c r="A565" s="35"/>
    </row>
    <row r="566" spans="1:15" x14ac:dyDescent="0.25">
      <c r="A566" s="35"/>
    </row>
    <row r="567" spans="1:15" ht="22.5" x14ac:dyDescent="0.3">
      <c r="A567" s="35"/>
      <c r="M567" s="32"/>
      <c r="N567" s="32"/>
      <c r="O567" s="32"/>
    </row>
    <row r="568" spans="1:15" x14ac:dyDescent="0.25">
      <c r="A568" s="35"/>
    </row>
    <row r="569" spans="1:15" x14ac:dyDescent="0.25">
      <c r="A569" s="35"/>
    </row>
    <row r="570" spans="1:15" x14ac:dyDescent="0.25">
      <c r="A570" s="35"/>
    </row>
    <row r="571" spans="1:15" x14ac:dyDescent="0.25">
      <c r="A571" s="35"/>
    </row>
    <row r="572" spans="1:15" x14ac:dyDescent="0.25">
      <c r="A572" s="35"/>
    </row>
    <row r="573" spans="1:15" x14ac:dyDescent="0.25">
      <c r="A573" s="35"/>
    </row>
    <row r="574" spans="1:15" x14ac:dyDescent="0.25">
      <c r="A574" s="35"/>
    </row>
    <row r="575" spans="1:15" x14ac:dyDescent="0.25">
      <c r="A575" s="35"/>
    </row>
    <row r="576" spans="1:15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8" x14ac:dyDescent="0.25">
      <c r="A593" s="35"/>
    </row>
    <row r="594" spans="1:8" x14ac:dyDescent="0.25">
      <c r="A594" s="35"/>
    </row>
    <row r="595" spans="1:8" x14ac:dyDescent="0.25">
      <c r="A595" s="35"/>
    </row>
    <row r="596" spans="1:8" x14ac:dyDescent="0.25">
      <c r="A596" s="35"/>
    </row>
    <row r="597" spans="1:8" x14ac:dyDescent="0.25">
      <c r="A597" s="35"/>
    </row>
    <row r="598" spans="1:8" x14ac:dyDescent="0.25">
      <c r="A598" s="35"/>
    </row>
    <row r="599" spans="1:8" x14ac:dyDescent="0.25">
      <c r="A599" s="35"/>
    </row>
    <row r="600" spans="1:8" x14ac:dyDescent="0.25">
      <c r="A600" s="35"/>
    </row>
    <row r="601" spans="1:8" x14ac:dyDescent="0.25">
      <c r="A601" s="35"/>
    </row>
    <row r="602" spans="1:8" x14ac:dyDescent="0.25">
      <c r="A602" s="35"/>
    </row>
    <row r="603" spans="1:8" x14ac:dyDescent="0.25">
      <c r="A603" s="35"/>
      <c r="H603" s="34">
        <f t="shared" ref="H603:H646" si="0">F603-G603+H602</f>
        <v>0</v>
      </c>
    </row>
    <row r="604" spans="1:8" x14ac:dyDescent="0.25">
      <c r="A604" s="35"/>
      <c r="H604" s="34">
        <f t="shared" si="0"/>
        <v>0</v>
      </c>
    </row>
    <row r="605" spans="1:8" x14ac:dyDescent="0.25">
      <c r="A605" s="35"/>
      <c r="H605" s="34">
        <f t="shared" si="0"/>
        <v>0</v>
      </c>
    </row>
    <row r="606" spans="1:8" x14ac:dyDescent="0.25">
      <c r="A606" s="35"/>
      <c r="H606" s="34">
        <f t="shared" si="0"/>
        <v>0</v>
      </c>
    </row>
    <row r="607" spans="1:8" x14ac:dyDescent="0.25">
      <c r="A607" s="35"/>
      <c r="H607" s="34">
        <f t="shared" si="0"/>
        <v>0</v>
      </c>
    </row>
    <row r="608" spans="1:8" x14ac:dyDescent="0.25">
      <c r="A608" s="35"/>
      <c r="H608" s="34">
        <f t="shared" si="0"/>
        <v>0</v>
      </c>
    </row>
    <row r="609" spans="1:8" x14ac:dyDescent="0.25">
      <c r="A609" s="35"/>
      <c r="H609" s="34">
        <f t="shared" si="0"/>
        <v>0</v>
      </c>
    </row>
    <row r="610" spans="1:8" x14ac:dyDescent="0.25">
      <c r="A610" s="35"/>
      <c r="H610" s="34">
        <f t="shared" si="0"/>
        <v>0</v>
      </c>
    </row>
    <row r="611" spans="1:8" x14ac:dyDescent="0.25">
      <c r="A611" s="35"/>
      <c r="H611" s="34">
        <f t="shared" si="0"/>
        <v>0</v>
      </c>
    </row>
    <row r="612" spans="1:8" x14ac:dyDescent="0.25">
      <c r="A612" s="35"/>
      <c r="H612" s="34">
        <f t="shared" si="0"/>
        <v>0</v>
      </c>
    </row>
    <row r="613" spans="1:8" x14ac:dyDescent="0.25">
      <c r="A613" s="35"/>
      <c r="H613" s="34">
        <f t="shared" si="0"/>
        <v>0</v>
      </c>
    </row>
    <row r="614" spans="1:8" x14ac:dyDescent="0.25">
      <c r="A614" s="35"/>
      <c r="H614" s="34">
        <f t="shared" si="0"/>
        <v>0</v>
      </c>
    </row>
    <row r="615" spans="1:8" x14ac:dyDescent="0.25">
      <c r="A615" s="35"/>
      <c r="H615" s="34">
        <f t="shared" si="0"/>
        <v>0</v>
      </c>
    </row>
    <row r="616" spans="1:8" x14ac:dyDescent="0.25">
      <c r="A616" s="35"/>
      <c r="H616" s="34">
        <f t="shared" si="0"/>
        <v>0</v>
      </c>
    </row>
    <row r="617" spans="1:8" x14ac:dyDescent="0.25">
      <c r="A617" s="35"/>
      <c r="H617" s="34">
        <f t="shared" si="0"/>
        <v>0</v>
      </c>
    </row>
    <row r="618" spans="1:8" x14ac:dyDescent="0.25">
      <c r="A618" s="35"/>
      <c r="H618" s="34">
        <f t="shared" si="0"/>
        <v>0</v>
      </c>
    </row>
    <row r="619" spans="1:8" x14ac:dyDescent="0.25">
      <c r="A619" s="35"/>
      <c r="H619" s="34">
        <f t="shared" si="0"/>
        <v>0</v>
      </c>
    </row>
    <row r="620" spans="1:8" x14ac:dyDescent="0.25">
      <c r="A620" s="35"/>
      <c r="H620" s="34">
        <f t="shared" si="0"/>
        <v>0</v>
      </c>
    </row>
    <row r="621" spans="1:8" x14ac:dyDescent="0.25">
      <c r="A621" s="35"/>
      <c r="H621" s="34">
        <f t="shared" si="0"/>
        <v>0</v>
      </c>
    </row>
    <row r="622" spans="1:8" x14ac:dyDescent="0.25">
      <c r="A622" s="35"/>
      <c r="H622" s="34">
        <f t="shared" si="0"/>
        <v>0</v>
      </c>
    </row>
    <row r="623" spans="1:8" x14ac:dyDescent="0.25">
      <c r="A623" s="35"/>
      <c r="H623" s="34">
        <f t="shared" si="0"/>
        <v>0</v>
      </c>
    </row>
    <row r="624" spans="1:8" x14ac:dyDescent="0.25">
      <c r="A624" s="35"/>
      <c r="H624" s="34">
        <f t="shared" si="0"/>
        <v>0</v>
      </c>
    </row>
    <row r="625" spans="1:8" x14ac:dyDescent="0.25">
      <c r="A625" s="35"/>
      <c r="H625" s="34">
        <f t="shared" si="0"/>
        <v>0</v>
      </c>
    </row>
    <row r="626" spans="1:8" x14ac:dyDescent="0.25">
      <c r="A626" s="35"/>
      <c r="H626" s="34">
        <f t="shared" si="0"/>
        <v>0</v>
      </c>
    </row>
    <row r="627" spans="1:8" x14ac:dyDescent="0.25">
      <c r="A627" s="35"/>
      <c r="H627" s="34">
        <f t="shared" si="0"/>
        <v>0</v>
      </c>
    </row>
    <row r="628" spans="1:8" x14ac:dyDescent="0.25">
      <c r="A628" s="35"/>
      <c r="H628" s="34">
        <f t="shared" si="0"/>
        <v>0</v>
      </c>
    </row>
    <row r="629" spans="1:8" x14ac:dyDescent="0.25">
      <c r="A629" s="35"/>
      <c r="H629" s="34">
        <f t="shared" si="0"/>
        <v>0</v>
      </c>
    </row>
    <row r="630" spans="1:8" x14ac:dyDescent="0.25">
      <c r="A630" s="35"/>
      <c r="H630" s="34">
        <f t="shared" si="0"/>
        <v>0</v>
      </c>
    </row>
    <row r="631" spans="1:8" x14ac:dyDescent="0.25">
      <c r="A631" s="35"/>
      <c r="H631" s="34">
        <f t="shared" si="0"/>
        <v>0</v>
      </c>
    </row>
    <row r="632" spans="1:8" x14ac:dyDescent="0.25">
      <c r="A632" s="35"/>
      <c r="H632" s="34">
        <f t="shared" si="0"/>
        <v>0</v>
      </c>
    </row>
    <row r="633" spans="1:8" x14ac:dyDescent="0.25">
      <c r="A633" s="35"/>
      <c r="H633" s="34">
        <f t="shared" si="0"/>
        <v>0</v>
      </c>
    </row>
    <row r="634" spans="1:8" x14ac:dyDescent="0.25">
      <c r="A634" s="35"/>
      <c r="H634" s="34">
        <f t="shared" si="0"/>
        <v>0</v>
      </c>
    </row>
    <row r="635" spans="1:8" x14ac:dyDescent="0.25">
      <c r="A635" s="35"/>
      <c r="H635" s="34">
        <f t="shared" si="0"/>
        <v>0</v>
      </c>
    </row>
    <row r="636" spans="1:8" x14ac:dyDescent="0.25">
      <c r="A636" s="35"/>
      <c r="H636" s="34">
        <f t="shared" si="0"/>
        <v>0</v>
      </c>
    </row>
    <row r="637" spans="1:8" x14ac:dyDescent="0.25">
      <c r="A637" s="35"/>
      <c r="H637" s="34">
        <f t="shared" si="0"/>
        <v>0</v>
      </c>
    </row>
    <row r="638" spans="1:8" x14ac:dyDescent="0.25">
      <c r="A638" s="35"/>
      <c r="H638" s="34">
        <f t="shared" si="0"/>
        <v>0</v>
      </c>
    </row>
    <row r="639" spans="1:8" x14ac:dyDescent="0.25">
      <c r="A639" s="35"/>
      <c r="H639" s="34">
        <f t="shared" si="0"/>
        <v>0</v>
      </c>
    </row>
    <row r="640" spans="1:8" x14ac:dyDescent="0.25">
      <c r="A640" s="35"/>
      <c r="H640" s="34">
        <f t="shared" si="0"/>
        <v>0</v>
      </c>
    </row>
    <row r="641" spans="1:8" x14ac:dyDescent="0.25">
      <c r="A641" s="35"/>
      <c r="H641" s="34">
        <f t="shared" si="0"/>
        <v>0</v>
      </c>
    </row>
    <row r="642" spans="1:8" x14ac:dyDescent="0.25">
      <c r="A642" s="35"/>
      <c r="H642" s="34">
        <f t="shared" si="0"/>
        <v>0</v>
      </c>
    </row>
    <row r="643" spans="1:8" x14ac:dyDescent="0.25">
      <c r="A643" s="35"/>
      <c r="H643" s="34">
        <f t="shared" si="0"/>
        <v>0</v>
      </c>
    </row>
    <row r="644" spans="1:8" x14ac:dyDescent="0.25">
      <c r="A644" s="35"/>
      <c r="H644" s="34">
        <f t="shared" si="0"/>
        <v>0</v>
      </c>
    </row>
    <row r="645" spans="1:8" x14ac:dyDescent="0.25">
      <c r="A645" s="35"/>
      <c r="H645" s="34">
        <f t="shared" si="0"/>
        <v>0</v>
      </c>
    </row>
    <row r="646" spans="1:8" x14ac:dyDescent="0.25">
      <c r="A646" s="35"/>
      <c r="H646" s="34">
        <f t="shared" si="0"/>
        <v>0</v>
      </c>
    </row>
    <row r="647" spans="1:8" x14ac:dyDescent="0.25">
      <c r="A647" s="35"/>
      <c r="H647" s="34">
        <f t="shared" ref="H647:H710" si="1">F647-G647+H646</f>
        <v>0</v>
      </c>
    </row>
    <row r="648" spans="1:8" x14ac:dyDescent="0.25">
      <c r="A648" s="35"/>
      <c r="H648" s="34">
        <f t="shared" si="1"/>
        <v>0</v>
      </c>
    </row>
    <row r="649" spans="1:8" x14ac:dyDescent="0.25">
      <c r="A649" s="35"/>
      <c r="H649" s="34">
        <f t="shared" si="1"/>
        <v>0</v>
      </c>
    </row>
    <row r="650" spans="1:8" x14ac:dyDescent="0.25">
      <c r="A650" s="35"/>
      <c r="H650" s="34">
        <f t="shared" si="1"/>
        <v>0</v>
      </c>
    </row>
    <row r="651" spans="1:8" x14ac:dyDescent="0.25">
      <c r="A651" s="35"/>
      <c r="H651" s="34">
        <f t="shared" si="1"/>
        <v>0</v>
      </c>
    </row>
    <row r="652" spans="1:8" x14ac:dyDescent="0.25">
      <c r="A652" s="35"/>
      <c r="H652" s="34">
        <f t="shared" si="1"/>
        <v>0</v>
      </c>
    </row>
    <row r="653" spans="1:8" x14ac:dyDescent="0.25">
      <c r="A653" s="35"/>
      <c r="H653" s="34">
        <f t="shared" si="1"/>
        <v>0</v>
      </c>
    </row>
    <row r="654" spans="1:8" x14ac:dyDescent="0.25">
      <c r="A654" s="35"/>
      <c r="H654" s="34">
        <f t="shared" si="1"/>
        <v>0</v>
      </c>
    </row>
    <row r="655" spans="1:8" x14ac:dyDescent="0.25">
      <c r="A655" s="35"/>
      <c r="H655" s="34">
        <f t="shared" si="1"/>
        <v>0</v>
      </c>
    </row>
    <row r="656" spans="1:8" x14ac:dyDescent="0.25">
      <c r="A656" s="35"/>
      <c r="H656" s="34">
        <f t="shared" si="1"/>
        <v>0</v>
      </c>
    </row>
    <row r="657" spans="1:15" x14ac:dyDescent="0.25">
      <c r="A657" s="35"/>
      <c r="H657" s="34">
        <f t="shared" si="1"/>
        <v>0</v>
      </c>
    </row>
    <row r="658" spans="1:15" x14ac:dyDescent="0.25">
      <c r="A658" s="35"/>
      <c r="H658" s="34">
        <f t="shared" si="1"/>
        <v>0</v>
      </c>
    </row>
    <row r="659" spans="1:15" x14ac:dyDescent="0.25">
      <c r="A659" s="35"/>
      <c r="H659" s="34">
        <f t="shared" si="1"/>
        <v>0</v>
      </c>
    </row>
    <row r="660" spans="1:15" x14ac:dyDescent="0.25">
      <c r="A660" s="35"/>
      <c r="H660" s="34">
        <f t="shared" si="1"/>
        <v>0</v>
      </c>
    </row>
    <row r="661" spans="1:15" x14ac:dyDescent="0.25">
      <c r="A661" s="35"/>
      <c r="H661" s="34">
        <f t="shared" si="1"/>
        <v>0</v>
      </c>
    </row>
    <row r="662" spans="1:15" x14ac:dyDescent="0.25">
      <c r="A662" s="35"/>
      <c r="H662" s="34">
        <f t="shared" si="1"/>
        <v>0</v>
      </c>
    </row>
    <row r="663" spans="1:15" x14ac:dyDescent="0.25">
      <c r="A663" s="35"/>
      <c r="H663" s="34">
        <f t="shared" si="1"/>
        <v>0</v>
      </c>
    </row>
    <row r="664" spans="1:15" x14ac:dyDescent="0.25">
      <c r="A664" s="35"/>
      <c r="H664" s="34">
        <f t="shared" si="1"/>
        <v>0</v>
      </c>
    </row>
    <row r="665" spans="1:15" x14ac:dyDescent="0.25">
      <c r="A665" s="35"/>
      <c r="H665" s="34">
        <f t="shared" si="1"/>
        <v>0</v>
      </c>
    </row>
    <row r="666" spans="1:15" x14ac:dyDescent="0.25">
      <c r="A666" s="35"/>
      <c r="H666" s="34">
        <f t="shared" si="1"/>
        <v>0</v>
      </c>
    </row>
    <row r="667" spans="1:15" x14ac:dyDescent="0.25">
      <c r="A667" s="35"/>
      <c r="H667" s="34">
        <f t="shared" si="1"/>
        <v>0</v>
      </c>
    </row>
    <row r="668" spans="1:15" x14ac:dyDescent="0.25">
      <c r="A668" s="35"/>
      <c r="H668" s="34">
        <f t="shared" si="1"/>
        <v>0</v>
      </c>
    </row>
    <row r="669" spans="1:15" x14ac:dyDescent="0.25">
      <c r="A669" s="35"/>
      <c r="H669" s="34">
        <f t="shared" si="1"/>
        <v>0</v>
      </c>
    </row>
    <row r="670" spans="1:15" ht="18.75" x14ac:dyDescent="0.3">
      <c r="A670" s="35"/>
      <c r="H670" s="34">
        <f t="shared" si="1"/>
        <v>0</v>
      </c>
      <c r="N670" s="41"/>
      <c r="O670" s="41"/>
    </row>
    <row r="671" spans="1:15" x14ac:dyDescent="0.25">
      <c r="A671" s="35"/>
      <c r="H671" s="34">
        <f t="shared" si="1"/>
        <v>0</v>
      </c>
    </row>
    <row r="672" spans="1:15" x14ac:dyDescent="0.25">
      <c r="A672" s="35"/>
      <c r="H672" s="34">
        <f t="shared" si="1"/>
        <v>0</v>
      </c>
    </row>
    <row r="673" spans="1:8" x14ac:dyDescent="0.25">
      <c r="A673" s="35"/>
      <c r="H673" s="34">
        <f t="shared" si="1"/>
        <v>0</v>
      </c>
    </row>
    <row r="674" spans="1:8" x14ac:dyDescent="0.25">
      <c r="A674" s="35"/>
      <c r="H674" s="34">
        <f t="shared" si="1"/>
        <v>0</v>
      </c>
    </row>
    <row r="675" spans="1:8" x14ac:dyDescent="0.25">
      <c r="A675" s="35"/>
      <c r="H675" s="34">
        <f t="shared" si="1"/>
        <v>0</v>
      </c>
    </row>
    <row r="676" spans="1:8" x14ac:dyDescent="0.25">
      <c r="A676" s="35"/>
      <c r="H676" s="34">
        <f t="shared" si="1"/>
        <v>0</v>
      </c>
    </row>
    <row r="677" spans="1:8" x14ac:dyDescent="0.25">
      <c r="A677" s="35"/>
      <c r="H677" s="34">
        <f t="shared" si="1"/>
        <v>0</v>
      </c>
    </row>
    <row r="678" spans="1:8" x14ac:dyDescent="0.25">
      <c r="A678" s="35"/>
      <c r="H678" s="34">
        <f t="shared" si="1"/>
        <v>0</v>
      </c>
    </row>
    <row r="679" spans="1:8" x14ac:dyDescent="0.25">
      <c r="A679" s="35"/>
      <c r="H679" s="34">
        <f t="shared" si="1"/>
        <v>0</v>
      </c>
    </row>
    <row r="680" spans="1:8" x14ac:dyDescent="0.25">
      <c r="A680" s="35"/>
      <c r="H680" s="34">
        <f t="shared" si="1"/>
        <v>0</v>
      </c>
    </row>
    <row r="681" spans="1:8" x14ac:dyDescent="0.25">
      <c r="A681" s="35"/>
      <c r="H681" s="34">
        <f t="shared" si="1"/>
        <v>0</v>
      </c>
    </row>
    <row r="682" spans="1:8" x14ac:dyDescent="0.25">
      <c r="A682" s="35"/>
      <c r="H682" s="34">
        <f t="shared" si="1"/>
        <v>0</v>
      </c>
    </row>
    <row r="683" spans="1:8" x14ac:dyDescent="0.25">
      <c r="A683" s="35"/>
      <c r="H683" s="34">
        <f t="shared" si="1"/>
        <v>0</v>
      </c>
    </row>
    <row r="684" spans="1:8" x14ac:dyDescent="0.25">
      <c r="A684" s="35"/>
      <c r="H684" s="34">
        <f t="shared" si="1"/>
        <v>0</v>
      </c>
    </row>
    <row r="685" spans="1:8" x14ac:dyDescent="0.25">
      <c r="A685" s="35"/>
      <c r="H685" s="34">
        <f t="shared" si="1"/>
        <v>0</v>
      </c>
    </row>
    <row r="686" spans="1:8" x14ac:dyDescent="0.25">
      <c r="A686" s="35"/>
      <c r="H686" s="34">
        <f t="shared" si="1"/>
        <v>0</v>
      </c>
    </row>
    <row r="687" spans="1:8" x14ac:dyDescent="0.25">
      <c r="A687" s="35"/>
      <c r="H687" s="34">
        <f t="shared" si="1"/>
        <v>0</v>
      </c>
    </row>
    <row r="688" spans="1:8" x14ac:dyDescent="0.25">
      <c r="A688" s="35"/>
      <c r="H688" s="34">
        <f t="shared" si="1"/>
        <v>0</v>
      </c>
    </row>
    <row r="689" spans="1:8" x14ac:dyDescent="0.25">
      <c r="A689" s="35"/>
      <c r="H689" s="34">
        <f t="shared" si="1"/>
        <v>0</v>
      </c>
    </row>
    <row r="690" spans="1:8" x14ac:dyDescent="0.25">
      <c r="A690" s="35"/>
      <c r="H690" s="34">
        <f t="shared" si="1"/>
        <v>0</v>
      </c>
    </row>
    <row r="691" spans="1:8" x14ac:dyDescent="0.25">
      <c r="A691" s="35"/>
      <c r="H691" s="34">
        <f t="shared" si="1"/>
        <v>0</v>
      </c>
    </row>
    <row r="692" spans="1:8" x14ac:dyDescent="0.25">
      <c r="A692" s="35"/>
      <c r="H692" s="34">
        <f t="shared" si="1"/>
        <v>0</v>
      </c>
    </row>
    <row r="693" spans="1:8" x14ac:dyDescent="0.25">
      <c r="A693" s="35"/>
      <c r="H693" s="34">
        <f t="shared" si="1"/>
        <v>0</v>
      </c>
    </row>
    <row r="694" spans="1:8" x14ac:dyDescent="0.25">
      <c r="A694" s="35"/>
      <c r="H694" s="34">
        <f t="shared" si="1"/>
        <v>0</v>
      </c>
    </row>
    <row r="695" spans="1:8" x14ac:dyDescent="0.25">
      <c r="A695" s="35"/>
      <c r="H695" s="34">
        <f t="shared" si="1"/>
        <v>0</v>
      </c>
    </row>
    <row r="696" spans="1:8" x14ac:dyDescent="0.25">
      <c r="A696" s="35"/>
      <c r="H696" s="34">
        <f t="shared" si="1"/>
        <v>0</v>
      </c>
    </row>
    <row r="697" spans="1:8" x14ac:dyDescent="0.25">
      <c r="A697" s="35"/>
      <c r="H697" s="34">
        <f t="shared" si="1"/>
        <v>0</v>
      </c>
    </row>
    <row r="698" spans="1:8" x14ac:dyDescent="0.25">
      <c r="A698" s="35"/>
      <c r="H698" s="34">
        <f t="shared" si="1"/>
        <v>0</v>
      </c>
    </row>
    <row r="699" spans="1:8" x14ac:dyDescent="0.25">
      <c r="A699" s="35"/>
      <c r="H699" s="34">
        <f t="shared" si="1"/>
        <v>0</v>
      </c>
    </row>
    <row r="700" spans="1:8" x14ac:dyDescent="0.25">
      <c r="A700" s="35"/>
      <c r="H700" s="34">
        <f t="shared" si="1"/>
        <v>0</v>
      </c>
    </row>
    <row r="701" spans="1:8" x14ac:dyDescent="0.25">
      <c r="A701" s="35"/>
      <c r="H701" s="34">
        <f t="shared" si="1"/>
        <v>0</v>
      </c>
    </row>
    <row r="702" spans="1:8" x14ac:dyDescent="0.25">
      <c r="A702" s="35"/>
      <c r="H702" s="34">
        <f t="shared" si="1"/>
        <v>0</v>
      </c>
    </row>
    <row r="703" spans="1:8" x14ac:dyDescent="0.25">
      <c r="A703" s="35"/>
      <c r="H703" s="34">
        <f t="shared" si="1"/>
        <v>0</v>
      </c>
    </row>
    <row r="704" spans="1:8" x14ac:dyDescent="0.25">
      <c r="A704" s="35"/>
      <c r="H704" s="34">
        <f t="shared" si="1"/>
        <v>0</v>
      </c>
    </row>
    <row r="705" spans="1:15" x14ac:dyDescent="0.25">
      <c r="A705" s="35"/>
      <c r="H705" s="34">
        <f t="shared" si="1"/>
        <v>0</v>
      </c>
    </row>
    <row r="706" spans="1:15" x14ac:dyDescent="0.25">
      <c r="A706" s="35"/>
      <c r="H706" s="34">
        <f t="shared" si="1"/>
        <v>0</v>
      </c>
    </row>
    <row r="707" spans="1:15" x14ac:dyDescent="0.25">
      <c r="A707" s="35"/>
      <c r="H707" s="34">
        <f t="shared" si="1"/>
        <v>0</v>
      </c>
    </row>
    <row r="708" spans="1:15" x14ac:dyDescent="0.25">
      <c r="A708" s="35"/>
      <c r="H708" s="34">
        <f t="shared" si="1"/>
        <v>0</v>
      </c>
    </row>
    <row r="709" spans="1:15" x14ac:dyDescent="0.25">
      <c r="A709" s="35"/>
      <c r="H709" s="34">
        <f t="shared" si="1"/>
        <v>0</v>
      </c>
    </row>
    <row r="710" spans="1:15" x14ac:dyDescent="0.25">
      <c r="A710" s="35"/>
      <c r="H710" s="34">
        <f t="shared" si="1"/>
        <v>0</v>
      </c>
    </row>
    <row r="711" spans="1:15" x14ac:dyDescent="0.25">
      <c r="A711" s="35"/>
      <c r="H711" s="34">
        <f t="shared" ref="H711:H774" si="2">F711-G711+H710</f>
        <v>0</v>
      </c>
    </row>
    <row r="712" spans="1:15" x14ac:dyDescent="0.25">
      <c r="A712" s="35"/>
      <c r="H712" s="34">
        <f t="shared" si="2"/>
        <v>0</v>
      </c>
    </row>
    <row r="713" spans="1:15" x14ac:dyDescent="0.25">
      <c r="A713" s="35"/>
      <c r="H713" s="34">
        <f t="shared" si="2"/>
        <v>0</v>
      </c>
    </row>
    <row r="714" spans="1:15" x14ac:dyDescent="0.25">
      <c r="A714" s="35"/>
      <c r="H714" s="34">
        <f t="shared" si="2"/>
        <v>0</v>
      </c>
    </row>
    <row r="715" spans="1:15" x14ac:dyDescent="0.25">
      <c r="A715" s="35"/>
      <c r="H715" s="34">
        <f t="shared" si="2"/>
        <v>0</v>
      </c>
    </row>
    <row r="716" spans="1:15" ht="18.75" x14ac:dyDescent="0.3">
      <c r="A716" s="35"/>
      <c r="H716" s="34">
        <f t="shared" si="2"/>
        <v>0</v>
      </c>
      <c r="M716" s="42"/>
      <c r="N716" s="42"/>
      <c r="O716" s="42"/>
    </row>
    <row r="717" spans="1:15" ht="18.75" x14ac:dyDescent="0.3">
      <c r="A717" s="35"/>
      <c r="H717" s="34">
        <f t="shared" si="2"/>
        <v>0</v>
      </c>
      <c r="M717" s="42"/>
      <c r="N717" s="42"/>
      <c r="O717" s="42"/>
    </row>
    <row r="718" spans="1:15" ht="18.75" x14ac:dyDescent="0.3">
      <c r="A718" s="35"/>
      <c r="H718" s="34">
        <f t="shared" si="2"/>
        <v>0</v>
      </c>
      <c r="M718" s="42"/>
      <c r="N718" s="42"/>
      <c r="O718" s="42"/>
    </row>
    <row r="719" spans="1:15" x14ac:dyDescent="0.25">
      <c r="A719" s="35"/>
      <c r="H719" s="34">
        <f t="shared" si="2"/>
        <v>0</v>
      </c>
    </row>
    <row r="720" spans="1:15" x14ac:dyDescent="0.25">
      <c r="A720" s="35"/>
      <c r="H720" s="34">
        <f t="shared" si="2"/>
        <v>0</v>
      </c>
    </row>
    <row r="721" spans="1:8" x14ac:dyDescent="0.25">
      <c r="A721" s="35"/>
      <c r="H721" s="34">
        <f t="shared" si="2"/>
        <v>0</v>
      </c>
    </row>
    <row r="722" spans="1:8" x14ac:dyDescent="0.25">
      <c r="A722" s="35"/>
      <c r="H722" s="34">
        <f t="shared" si="2"/>
        <v>0</v>
      </c>
    </row>
    <row r="723" spans="1:8" x14ac:dyDescent="0.25">
      <c r="A723" s="35"/>
      <c r="H723" s="34">
        <f t="shared" si="2"/>
        <v>0</v>
      </c>
    </row>
    <row r="724" spans="1:8" x14ac:dyDescent="0.25">
      <c r="A724" s="35"/>
      <c r="H724" s="34">
        <f t="shared" si="2"/>
        <v>0</v>
      </c>
    </row>
    <row r="725" spans="1:8" x14ac:dyDescent="0.25">
      <c r="A725" s="35"/>
      <c r="H725" s="34">
        <f t="shared" si="2"/>
        <v>0</v>
      </c>
    </row>
    <row r="726" spans="1:8" x14ac:dyDescent="0.25">
      <c r="A726" s="35"/>
      <c r="H726" s="34">
        <f t="shared" si="2"/>
        <v>0</v>
      </c>
    </row>
    <row r="727" spans="1:8" x14ac:dyDescent="0.25">
      <c r="A727" s="35"/>
      <c r="H727" s="34">
        <f t="shared" si="2"/>
        <v>0</v>
      </c>
    </row>
    <row r="728" spans="1:8" x14ac:dyDescent="0.25">
      <c r="A728" s="35"/>
      <c r="H728" s="34">
        <f t="shared" si="2"/>
        <v>0</v>
      </c>
    </row>
    <row r="729" spans="1:8" x14ac:dyDescent="0.25">
      <c r="A729" s="35"/>
      <c r="H729" s="34">
        <f t="shared" si="2"/>
        <v>0</v>
      </c>
    </row>
    <row r="730" spans="1:8" x14ac:dyDescent="0.25">
      <c r="A730" s="35"/>
      <c r="H730" s="34">
        <f t="shared" si="2"/>
        <v>0</v>
      </c>
    </row>
    <row r="731" spans="1:8" x14ac:dyDescent="0.25">
      <c r="A731" s="35"/>
      <c r="H731" s="34">
        <f t="shared" si="2"/>
        <v>0</v>
      </c>
    </row>
    <row r="732" spans="1:8" x14ac:dyDescent="0.25">
      <c r="A732" s="35"/>
      <c r="H732" s="34">
        <f t="shared" si="2"/>
        <v>0</v>
      </c>
    </row>
    <row r="733" spans="1:8" x14ac:dyDescent="0.25">
      <c r="A733" s="35"/>
      <c r="H733" s="34">
        <f t="shared" si="2"/>
        <v>0</v>
      </c>
    </row>
    <row r="734" spans="1:8" x14ac:dyDescent="0.25">
      <c r="A734" s="35"/>
      <c r="H734" s="34">
        <f t="shared" si="2"/>
        <v>0</v>
      </c>
    </row>
    <row r="735" spans="1:8" x14ac:dyDescent="0.25">
      <c r="A735" s="35"/>
      <c r="H735" s="34">
        <f t="shared" si="2"/>
        <v>0</v>
      </c>
    </row>
    <row r="736" spans="1:8" x14ac:dyDescent="0.25">
      <c r="A736" s="35"/>
      <c r="H736" s="34">
        <f t="shared" si="2"/>
        <v>0</v>
      </c>
    </row>
    <row r="737" spans="1:8" x14ac:dyDescent="0.25">
      <c r="A737" s="35"/>
      <c r="H737" s="34">
        <f t="shared" si="2"/>
        <v>0</v>
      </c>
    </row>
    <row r="738" spans="1:8" x14ac:dyDescent="0.25">
      <c r="A738" s="35"/>
      <c r="H738" s="34">
        <f t="shared" si="2"/>
        <v>0</v>
      </c>
    </row>
    <row r="739" spans="1:8" x14ac:dyDescent="0.25">
      <c r="A739" s="35"/>
      <c r="H739" s="34">
        <f t="shared" si="2"/>
        <v>0</v>
      </c>
    </row>
    <row r="740" spans="1:8" x14ac:dyDescent="0.25">
      <c r="A740" s="35"/>
      <c r="H740" s="34">
        <f t="shared" si="2"/>
        <v>0</v>
      </c>
    </row>
    <row r="741" spans="1:8" x14ac:dyDescent="0.25">
      <c r="A741" s="35"/>
      <c r="H741" s="34">
        <f t="shared" si="2"/>
        <v>0</v>
      </c>
    </row>
    <row r="742" spans="1:8" x14ac:dyDescent="0.25">
      <c r="A742" s="35"/>
      <c r="H742" s="34">
        <f t="shared" si="2"/>
        <v>0</v>
      </c>
    </row>
    <row r="743" spans="1:8" x14ac:dyDescent="0.25">
      <c r="A743" s="35"/>
      <c r="H743" s="34">
        <f t="shared" si="2"/>
        <v>0</v>
      </c>
    </row>
    <row r="744" spans="1:8" x14ac:dyDescent="0.25">
      <c r="A744" s="35"/>
      <c r="H744" s="34">
        <f t="shared" si="2"/>
        <v>0</v>
      </c>
    </row>
    <row r="745" spans="1:8" x14ac:dyDescent="0.25">
      <c r="A745" s="35"/>
      <c r="H745" s="34">
        <f t="shared" si="2"/>
        <v>0</v>
      </c>
    </row>
    <row r="746" spans="1:8" x14ac:dyDescent="0.25">
      <c r="A746" s="35"/>
      <c r="H746" s="34">
        <f t="shared" si="2"/>
        <v>0</v>
      </c>
    </row>
    <row r="747" spans="1:8" x14ac:dyDescent="0.25">
      <c r="A747" s="35"/>
      <c r="H747" s="34">
        <f t="shared" si="2"/>
        <v>0</v>
      </c>
    </row>
    <row r="748" spans="1:8" ht="13.9" customHeight="1" x14ac:dyDescent="0.25">
      <c r="A748" s="35"/>
      <c r="H748" s="34">
        <f t="shared" si="2"/>
        <v>0</v>
      </c>
    </row>
    <row r="749" spans="1:8" x14ac:dyDescent="0.25">
      <c r="A749" s="35"/>
      <c r="H749" s="34">
        <f t="shared" si="2"/>
        <v>0</v>
      </c>
    </row>
    <row r="750" spans="1:8" x14ac:dyDescent="0.25">
      <c r="A750" s="35"/>
      <c r="H750" s="34">
        <f t="shared" si="2"/>
        <v>0</v>
      </c>
    </row>
    <row r="751" spans="1:8" x14ac:dyDescent="0.25">
      <c r="A751" s="35"/>
      <c r="H751" s="34">
        <f t="shared" si="2"/>
        <v>0</v>
      </c>
    </row>
    <row r="752" spans="1:8" x14ac:dyDescent="0.25">
      <c r="A752" s="35"/>
      <c r="H752" s="34">
        <f t="shared" si="2"/>
        <v>0</v>
      </c>
    </row>
    <row r="753" spans="1:8" x14ac:dyDescent="0.25">
      <c r="A753" s="35"/>
      <c r="H753" s="34">
        <f t="shared" si="2"/>
        <v>0</v>
      </c>
    </row>
    <row r="754" spans="1:8" x14ac:dyDescent="0.25">
      <c r="A754" s="35"/>
      <c r="H754" s="34">
        <f t="shared" si="2"/>
        <v>0</v>
      </c>
    </row>
    <row r="755" spans="1:8" x14ac:dyDescent="0.25">
      <c r="A755" s="35"/>
      <c r="H755" s="34">
        <f t="shared" si="2"/>
        <v>0</v>
      </c>
    </row>
    <row r="756" spans="1:8" x14ac:dyDescent="0.25">
      <c r="A756" s="35"/>
      <c r="H756" s="34">
        <f t="shared" si="2"/>
        <v>0</v>
      </c>
    </row>
    <row r="757" spans="1:8" x14ac:dyDescent="0.25">
      <c r="A757" s="35"/>
      <c r="H757" s="34">
        <f t="shared" si="2"/>
        <v>0</v>
      </c>
    </row>
    <row r="758" spans="1:8" x14ac:dyDescent="0.25">
      <c r="A758" s="35"/>
      <c r="H758" s="34">
        <f t="shared" si="2"/>
        <v>0</v>
      </c>
    </row>
    <row r="759" spans="1:8" x14ac:dyDescent="0.25">
      <c r="A759" s="35"/>
      <c r="H759" s="34">
        <f t="shared" si="2"/>
        <v>0</v>
      </c>
    </row>
    <row r="760" spans="1:8" x14ac:dyDescent="0.25">
      <c r="A760" s="35"/>
      <c r="H760" s="34">
        <f t="shared" si="2"/>
        <v>0</v>
      </c>
    </row>
    <row r="761" spans="1:8" x14ac:dyDescent="0.25">
      <c r="A761" s="35"/>
      <c r="H761" s="34">
        <f t="shared" si="2"/>
        <v>0</v>
      </c>
    </row>
    <row r="762" spans="1:8" x14ac:dyDescent="0.25">
      <c r="A762" s="35"/>
      <c r="H762" s="34">
        <f t="shared" si="2"/>
        <v>0</v>
      </c>
    </row>
    <row r="763" spans="1:8" x14ac:dyDescent="0.25">
      <c r="A763" s="35"/>
      <c r="H763" s="34">
        <f t="shared" si="2"/>
        <v>0</v>
      </c>
    </row>
    <row r="764" spans="1:8" x14ac:dyDescent="0.25">
      <c r="A764" s="35"/>
      <c r="H764" s="34">
        <f t="shared" si="2"/>
        <v>0</v>
      </c>
    </row>
    <row r="765" spans="1:8" x14ac:dyDescent="0.25">
      <c r="A765" s="35"/>
      <c r="H765" s="34">
        <f t="shared" si="2"/>
        <v>0</v>
      </c>
    </row>
    <row r="766" spans="1:8" x14ac:dyDescent="0.25">
      <c r="A766" s="35"/>
      <c r="H766" s="34">
        <f t="shared" si="2"/>
        <v>0</v>
      </c>
    </row>
    <row r="767" spans="1:8" x14ac:dyDescent="0.25">
      <c r="A767" s="35"/>
      <c r="H767" s="34">
        <f t="shared" si="2"/>
        <v>0</v>
      </c>
    </row>
    <row r="768" spans="1:8" x14ac:dyDescent="0.25">
      <c r="A768" s="35"/>
      <c r="H768" s="34">
        <f t="shared" si="2"/>
        <v>0</v>
      </c>
    </row>
    <row r="769" spans="1:8" x14ac:dyDescent="0.25">
      <c r="A769" s="35"/>
      <c r="H769" s="34">
        <f t="shared" si="2"/>
        <v>0</v>
      </c>
    </row>
    <row r="770" spans="1:8" x14ac:dyDescent="0.25">
      <c r="A770" s="35"/>
      <c r="H770" s="34">
        <f t="shared" si="2"/>
        <v>0</v>
      </c>
    </row>
    <row r="771" spans="1:8" x14ac:dyDescent="0.25">
      <c r="A771" s="35"/>
      <c r="H771" s="34">
        <f t="shared" si="2"/>
        <v>0</v>
      </c>
    </row>
    <row r="772" spans="1:8" x14ac:dyDescent="0.25">
      <c r="A772" s="35"/>
      <c r="H772" s="34">
        <f t="shared" si="2"/>
        <v>0</v>
      </c>
    </row>
    <row r="773" spans="1:8" x14ac:dyDescent="0.25">
      <c r="A773" s="35"/>
      <c r="H773" s="34">
        <f t="shared" si="2"/>
        <v>0</v>
      </c>
    </row>
    <row r="774" spans="1:8" x14ac:dyDescent="0.25">
      <c r="A774" s="35"/>
      <c r="H774" s="34">
        <f t="shared" si="2"/>
        <v>0</v>
      </c>
    </row>
    <row r="775" spans="1:8" x14ac:dyDescent="0.25">
      <c r="A775" s="35"/>
      <c r="H775" s="34">
        <f t="shared" ref="H775:H806" si="3">F775-G775+H774</f>
        <v>0</v>
      </c>
    </row>
    <row r="776" spans="1:8" x14ac:dyDescent="0.25">
      <c r="A776" s="35"/>
      <c r="H776" s="34">
        <f t="shared" si="3"/>
        <v>0</v>
      </c>
    </row>
    <row r="777" spans="1:8" x14ac:dyDescent="0.25">
      <c r="A777" s="35"/>
      <c r="H777" s="34">
        <f t="shared" si="3"/>
        <v>0</v>
      </c>
    </row>
    <row r="778" spans="1:8" x14ac:dyDescent="0.25">
      <c r="A778" s="35"/>
      <c r="H778" s="34">
        <f t="shared" si="3"/>
        <v>0</v>
      </c>
    </row>
    <row r="779" spans="1:8" x14ac:dyDescent="0.25">
      <c r="A779" s="35"/>
      <c r="H779" s="34">
        <f t="shared" si="3"/>
        <v>0</v>
      </c>
    </row>
    <row r="780" spans="1:8" x14ac:dyDescent="0.25">
      <c r="A780" s="35"/>
      <c r="H780" s="34">
        <f t="shared" si="3"/>
        <v>0</v>
      </c>
    </row>
    <row r="781" spans="1:8" x14ac:dyDescent="0.25">
      <c r="A781" s="35"/>
      <c r="H781" s="34">
        <f t="shared" si="3"/>
        <v>0</v>
      </c>
    </row>
    <row r="782" spans="1:8" x14ac:dyDescent="0.25">
      <c r="A782" s="35"/>
      <c r="H782" s="34">
        <f t="shared" si="3"/>
        <v>0</v>
      </c>
    </row>
    <row r="783" spans="1:8" x14ac:dyDescent="0.25">
      <c r="A783" s="35"/>
      <c r="H783" s="34">
        <f t="shared" si="3"/>
        <v>0</v>
      </c>
    </row>
    <row r="784" spans="1:8" x14ac:dyDescent="0.25">
      <c r="A784" s="35"/>
      <c r="H784" s="34">
        <f t="shared" si="3"/>
        <v>0</v>
      </c>
    </row>
    <row r="785" spans="1:8" x14ac:dyDescent="0.25">
      <c r="A785" s="35"/>
      <c r="H785" s="34">
        <f t="shared" si="3"/>
        <v>0</v>
      </c>
    </row>
    <row r="786" spans="1:8" x14ac:dyDescent="0.25">
      <c r="A786" s="35"/>
      <c r="H786" s="34">
        <f t="shared" si="3"/>
        <v>0</v>
      </c>
    </row>
    <row r="787" spans="1:8" x14ac:dyDescent="0.25">
      <c r="A787" s="35"/>
      <c r="H787" s="34">
        <f t="shared" si="3"/>
        <v>0</v>
      </c>
    </row>
    <row r="788" spans="1:8" x14ac:dyDescent="0.25">
      <c r="A788" s="35"/>
      <c r="H788" s="34">
        <f t="shared" si="3"/>
        <v>0</v>
      </c>
    </row>
    <row r="789" spans="1:8" x14ac:dyDescent="0.25">
      <c r="A789" s="35"/>
      <c r="H789" s="34">
        <f t="shared" si="3"/>
        <v>0</v>
      </c>
    </row>
    <row r="790" spans="1:8" x14ac:dyDescent="0.25">
      <c r="A790" s="35"/>
      <c r="H790" s="34">
        <f t="shared" si="3"/>
        <v>0</v>
      </c>
    </row>
    <row r="791" spans="1:8" x14ac:dyDescent="0.25">
      <c r="A791" s="35"/>
      <c r="H791" s="34">
        <f t="shared" si="3"/>
        <v>0</v>
      </c>
    </row>
    <row r="792" spans="1:8" x14ac:dyDescent="0.25">
      <c r="A792" s="35"/>
      <c r="H792" s="34">
        <f t="shared" si="3"/>
        <v>0</v>
      </c>
    </row>
    <row r="793" spans="1:8" x14ac:dyDescent="0.25">
      <c r="A793" s="35"/>
      <c r="H793" s="34">
        <f t="shared" si="3"/>
        <v>0</v>
      </c>
    </row>
    <row r="794" spans="1:8" x14ac:dyDescent="0.25">
      <c r="A794" s="35"/>
      <c r="H794" s="34">
        <f t="shared" si="3"/>
        <v>0</v>
      </c>
    </row>
    <row r="795" spans="1:8" x14ac:dyDescent="0.25">
      <c r="A795" s="35"/>
      <c r="H795" s="34">
        <f t="shared" si="3"/>
        <v>0</v>
      </c>
    </row>
    <row r="796" spans="1:8" x14ac:dyDescent="0.25">
      <c r="A796" s="35"/>
      <c r="H796" s="34">
        <f t="shared" si="3"/>
        <v>0</v>
      </c>
    </row>
    <row r="797" spans="1:8" x14ac:dyDescent="0.25">
      <c r="A797" s="35"/>
      <c r="H797" s="34">
        <f t="shared" si="3"/>
        <v>0</v>
      </c>
    </row>
    <row r="798" spans="1:8" x14ac:dyDescent="0.25">
      <c r="A798" s="35"/>
      <c r="H798" s="34">
        <f t="shared" si="3"/>
        <v>0</v>
      </c>
    </row>
    <row r="799" spans="1:8" x14ac:dyDescent="0.25">
      <c r="A799" s="35"/>
      <c r="H799" s="34">
        <f t="shared" si="3"/>
        <v>0</v>
      </c>
    </row>
    <row r="800" spans="1:8" x14ac:dyDescent="0.25">
      <c r="A800" s="35"/>
      <c r="H800" s="34">
        <f t="shared" si="3"/>
        <v>0</v>
      </c>
    </row>
    <row r="801" spans="1:8" x14ac:dyDescent="0.25">
      <c r="A801" s="35"/>
      <c r="H801" s="34">
        <f t="shared" si="3"/>
        <v>0</v>
      </c>
    </row>
    <row r="802" spans="1:8" x14ac:dyDescent="0.25">
      <c r="A802" s="35"/>
      <c r="H802" s="34">
        <f t="shared" si="3"/>
        <v>0</v>
      </c>
    </row>
    <row r="803" spans="1:8" x14ac:dyDescent="0.25">
      <c r="A803" s="35"/>
      <c r="H803" s="34">
        <f t="shared" si="3"/>
        <v>0</v>
      </c>
    </row>
    <row r="804" spans="1:8" x14ac:dyDescent="0.25">
      <c r="A804" s="35"/>
      <c r="H804" s="34">
        <f t="shared" si="3"/>
        <v>0</v>
      </c>
    </row>
    <row r="805" spans="1:8" x14ac:dyDescent="0.25">
      <c r="A805" s="35"/>
      <c r="H805" s="34">
        <f t="shared" si="3"/>
        <v>0</v>
      </c>
    </row>
    <row r="806" spans="1:8" ht="15" customHeight="1" x14ac:dyDescent="0.25">
      <c r="A806" s="35"/>
      <c r="H806" s="34">
        <f t="shared" si="3"/>
        <v>0</v>
      </c>
    </row>
    <row r="807" spans="1:8" ht="15" customHeight="1" x14ac:dyDescent="0.25">
      <c r="A807" s="35"/>
    </row>
    <row r="808" spans="1:8" ht="15" customHeight="1" x14ac:dyDescent="0.25">
      <c r="A808" s="35"/>
    </row>
    <row r="809" spans="1:8" ht="15" customHeight="1" x14ac:dyDescent="0.25">
      <c r="A809" s="35"/>
    </row>
    <row r="810" spans="1:8" x14ac:dyDescent="0.25">
      <c r="A810" s="35"/>
    </row>
    <row r="811" spans="1:8" x14ac:dyDescent="0.25">
      <c r="A811" s="35"/>
    </row>
    <row r="812" spans="1:8" x14ac:dyDescent="0.25">
      <c r="A812" s="35"/>
    </row>
    <row r="813" spans="1:8" x14ac:dyDescent="0.25">
      <c r="A813" s="35"/>
    </row>
    <row r="814" spans="1:8" x14ac:dyDescent="0.25">
      <c r="A814" s="35"/>
    </row>
    <row r="815" spans="1:8" x14ac:dyDescent="0.25">
      <c r="A815" s="35"/>
    </row>
    <row r="816" spans="1:8" x14ac:dyDescent="0.25">
      <c r="A816" s="35"/>
    </row>
    <row r="817" spans="1:1" x14ac:dyDescent="0.25">
      <c r="A817" s="35"/>
    </row>
    <row r="818" spans="1:1" x14ac:dyDescent="0.25">
      <c r="A818" s="35"/>
    </row>
    <row r="819" spans="1:1" x14ac:dyDescent="0.25">
      <c r="A819" s="35"/>
    </row>
    <row r="820" spans="1:1" x14ac:dyDescent="0.25">
      <c r="A820" s="35"/>
    </row>
    <row r="821" spans="1:1" x14ac:dyDescent="0.25">
      <c r="A821" s="35"/>
    </row>
    <row r="822" spans="1:1" x14ac:dyDescent="0.25">
      <c r="A822" s="35"/>
    </row>
    <row r="823" spans="1:1" x14ac:dyDescent="0.25">
      <c r="A823" s="35"/>
    </row>
    <row r="824" spans="1:1" x14ac:dyDescent="0.25">
      <c r="A824" s="35"/>
    </row>
    <row r="825" spans="1:1" x14ac:dyDescent="0.25">
      <c r="A825" s="35"/>
    </row>
    <row r="826" spans="1:1" x14ac:dyDescent="0.25">
      <c r="A826" s="35"/>
    </row>
    <row r="827" spans="1:1" x14ac:dyDescent="0.25">
      <c r="A827" s="35"/>
    </row>
    <row r="828" spans="1:1" x14ac:dyDescent="0.25">
      <c r="A828" s="35"/>
    </row>
    <row r="829" spans="1:1" x14ac:dyDescent="0.25">
      <c r="A829" s="35"/>
    </row>
    <row r="830" spans="1:1" x14ac:dyDescent="0.25">
      <c r="A830" s="35"/>
    </row>
    <row r="831" spans="1:1" x14ac:dyDescent="0.25">
      <c r="A831" s="35"/>
    </row>
    <row r="832" spans="1:1" x14ac:dyDescent="0.25">
      <c r="A832" s="35"/>
    </row>
    <row r="833" spans="1:1" x14ac:dyDescent="0.25">
      <c r="A833" s="35"/>
    </row>
    <row r="834" spans="1:1" x14ac:dyDescent="0.25">
      <c r="A834" s="35"/>
    </row>
    <row r="835" spans="1:1" x14ac:dyDescent="0.25">
      <c r="A835" s="35"/>
    </row>
    <row r="836" spans="1:1" x14ac:dyDescent="0.25">
      <c r="A836" s="35"/>
    </row>
    <row r="837" spans="1:1" x14ac:dyDescent="0.25">
      <c r="A837" s="35"/>
    </row>
    <row r="838" spans="1:1" x14ac:dyDescent="0.25">
      <c r="A838" s="35"/>
    </row>
    <row r="839" spans="1:1" x14ac:dyDescent="0.25">
      <c r="A839" s="35"/>
    </row>
    <row r="840" spans="1:1" x14ac:dyDescent="0.25">
      <c r="A840" s="35"/>
    </row>
    <row r="841" spans="1:1" x14ac:dyDescent="0.25">
      <c r="A841" s="35"/>
    </row>
    <row r="842" spans="1:1" x14ac:dyDescent="0.25">
      <c r="A842" s="35"/>
    </row>
    <row r="843" spans="1:1" x14ac:dyDescent="0.25">
      <c r="A843" s="35"/>
    </row>
    <row r="844" spans="1:1" x14ac:dyDescent="0.25">
      <c r="A844" s="35"/>
    </row>
    <row r="845" spans="1:1" x14ac:dyDescent="0.25">
      <c r="A845" s="35"/>
    </row>
    <row r="846" spans="1:1" x14ac:dyDescent="0.25">
      <c r="A846" s="35"/>
    </row>
    <row r="847" spans="1:1" x14ac:dyDescent="0.25">
      <c r="A847" s="35"/>
    </row>
    <row r="848" spans="1:1" x14ac:dyDescent="0.25">
      <c r="A848" s="35"/>
    </row>
    <row r="849" spans="1:1" x14ac:dyDescent="0.25">
      <c r="A849" s="35"/>
    </row>
    <row r="850" spans="1:1" x14ac:dyDescent="0.25">
      <c r="A850" s="35"/>
    </row>
    <row r="851" spans="1:1" x14ac:dyDescent="0.25">
      <c r="A851" s="35"/>
    </row>
    <row r="852" spans="1:1" x14ac:dyDescent="0.25">
      <c r="A852" s="35"/>
    </row>
    <row r="853" spans="1:1" x14ac:dyDescent="0.25">
      <c r="A853" s="35"/>
    </row>
    <row r="854" spans="1:1" x14ac:dyDescent="0.25">
      <c r="A854" s="35"/>
    </row>
    <row r="855" spans="1:1" x14ac:dyDescent="0.25">
      <c r="A855" s="35"/>
    </row>
    <row r="856" spans="1:1" x14ac:dyDescent="0.25">
      <c r="A856" s="35"/>
    </row>
    <row r="857" spans="1:1" x14ac:dyDescent="0.25">
      <c r="A857" s="35"/>
    </row>
    <row r="858" spans="1:1" x14ac:dyDescent="0.25">
      <c r="A858" s="35"/>
    </row>
    <row r="859" spans="1:1" x14ac:dyDescent="0.25">
      <c r="A859" s="35"/>
    </row>
    <row r="860" spans="1:1" x14ac:dyDescent="0.25">
      <c r="A860" s="35"/>
    </row>
    <row r="861" spans="1:1" x14ac:dyDescent="0.25">
      <c r="A861" s="35"/>
    </row>
    <row r="862" spans="1:1" x14ac:dyDescent="0.25">
      <c r="A862" s="35"/>
    </row>
    <row r="863" spans="1:1" x14ac:dyDescent="0.25">
      <c r="A863" s="35"/>
    </row>
    <row r="864" spans="1:1" x14ac:dyDescent="0.25">
      <c r="A864" s="35"/>
    </row>
    <row r="865" spans="1:1" x14ac:dyDescent="0.25">
      <c r="A865" s="35"/>
    </row>
    <row r="866" spans="1:1" x14ac:dyDescent="0.25">
      <c r="A866" s="35"/>
    </row>
    <row r="867" spans="1:1" x14ac:dyDescent="0.25">
      <c r="A867" s="35"/>
    </row>
    <row r="868" spans="1:1" x14ac:dyDescent="0.25">
      <c r="A868" s="35"/>
    </row>
    <row r="869" spans="1:1" x14ac:dyDescent="0.25">
      <c r="A869" s="35"/>
    </row>
    <row r="870" spans="1:1" x14ac:dyDescent="0.25">
      <c r="A870" s="35"/>
    </row>
    <row r="871" spans="1:1" x14ac:dyDescent="0.25">
      <c r="A871" s="35"/>
    </row>
    <row r="872" spans="1:1" x14ac:dyDescent="0.25">
      <c r="A872" s="35"/>
    </row>
    <row r="873" spans="1:1" x14ac:dyDescent="0.25">
      <c r="A873" s="35"/>
    </row>
    <row r="874" spans="1:1" x14ac:dyDescent="0.25">
      <c r="A874" s="35"/>
    </row>
    <row r="875" spans="1:1" x14ac:dyDescent="0.25">
      <c r="A875" s="35"/>
    </row>
    <row r="876" spans="1:1" x14ac:dyDescent="0.25">
      <c r="A876" s="35"/>
    </row>
    <row r="877" spans="1:1" x14ac:dyDescent="0.25">
      <c r="A877" s="35"/>
    </row>
    <row r="878" spans="1:1" x14ac:dyDescent="0.25">
      <c r="A878" s="35"/>
    </row>
    <row r="879" spans="1:1" x14ac:dyDescent="0.25">
      <c r="A879" s="35"/>
    </row>
    <row r="880" spans="1:1" x14ac:dyDescent="0.25">
      <c r="A880" s="35"/>
    </row>
    <row r="881" spans="1:3" x14ac:dyDescent="0.25">
      <c r="A881" s="35"/>
    </row>
    <row r="882" spans="1:3" x14ac:dyDescent="0.25">
      <c r="A882" s="35"/>
    </row>
    <row r="883" spans="1:3" x14ac:dyDescent="0.25">
      <c r="A883" s="35"/>
    </row>
    <row r="884" spans="1:3" x14ac:dyDescent="0.25">
      <c r="A884" s="35"/>
    </row>
    <row r="885" spans="1:3" x14ac:dyDescent="0.25">
      <c r="A885" s="35"/>
    </row>
    <row r="886" spans="1:3" x14ac:dyDescent="0.25">
      <c r="A886" s="35"/>
      <c r="C886" s="40"/>
    </row>
    <row r="887" spans="1:3" x14ac:dyDescent="0.25">
      <c r="A887" s="35"/>
    </row>
    <row r="888" spans="1:3" x14ac:dyDescent="0.25">
      <c r="A888" s="35"/>
    </row>
    <row r="889" spans="1:3" x14ac:dyDescent="0.25">
      <c r="A889" s="35"/>
    </row>
    <row r="890" spans="1:3" x14ac:dyDescent="0.25">
      <c r="A890" s="35"/>
    </row>
    <row r="891" spans="1:3" x14ac:dyDescent="0.25">
      <c r="A891" s="35"/>
    </row>
    <row r="892" spans="1:3" x14ac:dyDescent="0.25">
      <c r="A892" s="35"/>
    </row>
    <row r="893" spans="1:3" x14ac:dyDescent="0.25">
      <c r="A893" s="35"/>
    </row>
    <row r="894" spans="1:3" x14ac:dyDescent="0.25">
      <c r="A894" s="35"/>
    </row>
    <row r="895" spans="1:3" x14ac:dyDescent="0.25">
      <c r="A895" s="35"/>
    </row>
    <row r="896" spans="1:3" x14ac:dyDescent="0.25">
      <c r="A896" s="35"/>
    </row>
    <row r="897" spans="1:7" x14ac:dyDescent="0.25">
      <c r="A897" s="35"/>
    </row>
    <row r="898" spans="1:7" x14ac:dyDescent="0.25">
      <c r="A898" s="35"/>
    </row>
    <row r="899" spans="1:7" x14ac:dyDescent="0.25">
      <c r="A899" s="35"/>
    </row>
    <row r="900" spans="1:7" x14ac:dyDescent="0.25">
      <c r="A900" s="35"/>
    </row>
    <row r="901" spans="1:7" x14ac:dyDescent="0.25">
      <c r="A901" s="35"/>
    </row>
    <row r="902" spans="1:7" x14ac:dyDescent="0.25">
      <c r="A902" s="35"/>
    </row>
    <row r="903" spans="1:7" x14ac:dyDescent="0.25">
      <c r="A903" s="35"/>
      <c r="F903" s="43"/>
      <c r="G903" s="43"/>
    </row>
    <row r="904" spans="1:7" x14ac:dyDescent="0.25">
      <c r="A904" s="35"/>
      <c r="F904" s="43"/>
      <c r="G904" s="43"/>
    </row>
    <row r="905" spans="1:7" x14ac:dyDescent="0.25">
      <c r="A905" s="35"/>
    </row>
    <row r="906" spans="1:7" x14ac:dyDescent="0.25">
      <c r="A906" s="35"/>
    </row>
    <row r="907" spans="1:7" x14ac:dyDescent="0.25">
      <c r="A907" s="35"/>
    </row>
    <row r="908" spans="1:7" x14ac:dyDescent="0.25">
      <c r="A908" s="35"/>
    </row>
    <row r="909" spans="1:7" x14ac:dyDescent="0.25">
      <c r="A909" s="35"/>
    </row>
    <row r="910" spans="1:7" x14ac:dyDescent="0.25">
      <c r="A910" s="35"/>
    </row>
    <row r="911" spans="1:7" x14ac:dyDescent="0.25">
      <c r="A911" s="35"/>
    </row>
    <row r="912" spans="1:7" x14ac:dyDescent="0.25">
      <c r="A912" s="35"/>
    </row>
    <row r="913" spans="1:1" x14ac:dyDescent="0.25">
      <c r="A913" s="35"/>
    </row>
    <row r="914" spans="1:1" x14ac:dyDescent="0.25">
      <c r="A914" s="35"/>
    </row>
    <row r="915" spans="1:1" x14ac:dyDescent="0.25">
      <c r="A915" s="35"/>
    </row>
    <row r="916" spans="1:1" x14ac:dyDescent="0.25">
      <c r="A916" s="35"/>
    </row>
    <row r="917" spans="1:1" x14ac:dyDescent="0.25">
      <c r="A917" s="35"/>
    </row>
    <row r="918" spans="1:1" x14ac:dyDescent="0.25">
      <c r="A918" s="35"/>
    </row>
    <row r="919" spans="1:1" x14ac:dyDescent="0.25">
      <c r="A919" s="35"/>
    </row>
    <row r="920" spans="1:1" ht="22.15" customHeight="1" x14ac:dyDescent="0.25">
      <c r="A920" s="35"/>
    </row>
    <row r="921" spans="1:1" x14ac:dyDescent="0.25">
      <c r="A921" s="35"/>
    </row>
    <row r="922" spans="1:1" x14ac:dyDescent="0.25">
      <c r="A922" s="35"/>
    </row>
    <row r="923" spans="1:1" x14ac:dyDescent="0.25">
      <c r="A923" s="35"/>
    </row>
    <row r="924" spans="1:1" x14ac:dyDescent="0.25">
      <c r="A924" s="35"/>
    </row>
    <row r="925" spans="1:1" x14ac:dyDescent="0.25">
      <c r="A925" s="35"/>
    </row>
    <row r="926" spans="1:1" x14ac:dyDescent="0.25">
      <c r="A926" s="35"/>
    </row>
    <row r="927" spans="1:1" x14ac:dyDescent="0.25">
      <c r="A927" s="35"/>
    </row>
    <row r="928" spans="1:1" x14ac:dyDescent="0.25">
      <c r="A928" s="35"/>
    </row>
    <row r="929" spans="1:7" x14ac:dyDescent="0.25">
      <c r="A929" s="35"/>
    </row>
    <row r="930" spans="1:7" x14ac:dyDescent="0.25">
      <c r="A930" s="35"/>
    </row>
    <row r="931" spans="1:7" x14ac:dyDescent="0.25">
      <c r="A931" s="35"/>
    </row>
    <row r="932" spans="1:7" x14ac:dyDescent="0.25">
      <c r="A932" s="35"/>
    </row>
    <row r="933" spans="1:7" x14ac:dyDescent="0.25">
      <c r="A933" s="35"/>
      <c r="C933" s="44"/>
      <c r="F933" s="45"/>
    </row>
    <row r="934" spans="1:7" x14ac:dyDescent="0.25">
      <c r="A934" s="46"/>
      <c r="B934" s="47"/>
      <c r="C934" s="47"/>
      <c r="D934" s="47"/>
      <c r="E934" s="47"/>
      <c r="F934" s="48"/>
      <c r="G934" s="48"/>
    </row>
    <row r="935" spans="1:7" x14ac:dyDescent="0.25">
      <c r="A935" s="49"/>
      <c r="B935" s="50"/>
      <c r="C935" s="50"/>
      <c r="D935" s="50"/>
      <c r="E935" s="50"/>
      <c r="F935" s="51"/>
      <c r="G935" s="51"/>
    </row>
    <row r="936" spans="1:7" x14ac:dyDescent="0.25">
      <c r="A936" s="35"/>
    </row>
    <row r="937" spans="1:7" x14ac:dyDescent="0.25">
      <c r="A937" s="35"/>
    </row>
    <row r="938" spans="1:7" x14ac:dyDescent="0.25">
      <c r="A938" s="35"/>
    </row>
    <row r="939" spans="1:7" x14ac:dyDescent="0.25">
      <c r="A939" s="35"/>
    </row>
    <row r="940" spans="1:7" x14ac:dyDescent="0.25">
      <c r="A940" s="35"/>
    </row>
    <row r="941" spans="1:7" x14ac:dyDescent="0.25">
      <c r="A941" s="35"/>
    </row>
    <row r="942" spans="1:7" x14ac:dyDescent="0.25">
      <c r="A942" s="35"/>
    </row>
    <row r="943" spans="1:7" x14ac:dyDescent="0.25">
      <c r="A943" s="35"/>
    </row>
    <row r="944" spans="1:7" x14ac:dyDescent="0.25">
      <c r="A944" s="35"/>
      <c r="C944" s="50"/>
    </row>
    <row r="945" spans="1:1" x14ac:dyDescent="0.25">
      <c r="A945" s="35"/>
    </row>
    <row r="946" spans="1:1" x14ac:dyDescent="0.25">
      <c r="A946" s="35"/>
    </row>
    <row r="947" spans="1:1" x14ac:dyDescent="0.25">
      <c r="A947" s="35"/>
    </row>
    <row r="948" spans="1:1" x14ac:dyDescent="0.25">
      <c r="A948" s="35"/>
    </row>
    <row r="950" spans="1:1" x14ac:dyDescent="0.25">
      <c r="A950" s="35"/>
    </row>
    <row r="951" spans="1:1" x14ac:dyDescent="0.25">
      <c r="A951" s="35"/>
    </row>
    <row r="952" spans="1:1" x14ac:dyDescent="0.25">
      <c r="A952" s="35"/>
    </row>
    <row r="953" spans="1:1" x14ac:dyDescent="0.25">
      <c r="A953" s="35"/>
    </row>
    <row r="954" spans="1:1" x14ac:dyDescent="0.25">
      <c r="A954" s="35"/>
    </row>
    <row r="955" spans="1:1" x14ac:dyDescent="0.25">
      <c r="A955" s="35"/>
    </row>
    <row r="956" spans="1:1" x14ac:dyDescent="0.25">
      <c r="A956" s="35"/>
    </row>
    <row r="957" spans="1:1" x14ac:dyDescent="0.25">
      <c r="A957" s="35"/>
    </row>
    <row r="958" spans="1:1" x14ac:dyDescent="0.25">
      <c r="A958" s="35"/>
    </row>
    <row r="959" spans="1:1" x14ac:dyDescent="0.25">
      <c r="A959" s="35"/>
    </row>
    <row r="960" spans="1:1" x14ac:dyDescent="0.25">
      <c r="A960" s="35"/>
    </row>
    <row r="961" spans="1:1" x14ac:dyDescent="0.25">
      <c r="A961" s="35"/>
    </row>
    <row r="962" spans="1:1" x14ac:dyDescent="0.25">
      <c r="A962" s="35"/>
    </row>
    <row r="963" spans="1:1" x14ac:dyDescent="0.25">
      <c r="A963" s="35"/>
    </row>
    <row r="964" spans="1:1" x14ac:dyDescent="0.25">
      <c r="A964" s="35"/>
    </row>
    <row r="965" spans="1:1" x14ac:dyDescent="0.25">
      <c r="A965" s="35"/>
    </row>
    <row r="966" spans="1:1" x14ac:dyDescent="0.25">
      <c r="A966" s="35"/>
    </row>
    <row r="967" spans="1:1" x14ac:dyDescent="0.25">
      <c r="A967" s="35"/>
    </row>
    <row r="968" spans="1:1" x14ac:dyDescent="0.25">
      <c r="A968" s="35"/>
    </row>
    <row r="969" spans="1:1" x14ac:dyDescent="0.25">
      <c r="A969" s="35"/>
    </row>
    <row r="970" spans="1:1" x14ac:dyDescent="0.25">
      <c r="A970" s="35"/>
    </row>
    <row r="971" spans="1:1" x14ac:dyDescent="0.25">
      <c r="A971" s="35"/>
    </row>
    <row r="972" spans="1:1" x14ac:dyDescent="0.25">
      <c r="A972" s="35"/>
    </row>
    <row r="973" spans="1:1" x14ac:dyDescent="0.25">
      <c r="A973" s="35"/>
    </row>
    <row r="974" spans="1:1" x14ac:dyDescent="0.25">
      <c r="A974" s="35"/>
    </row>
    <row r="975" spans="1:1" x14ac:dyDescent="0.25">
      <c r="A975" s="35"/>
    </row>
    <row r="976" spans="1:1" x14ac:dyDescent="0.25">
      <c r="A976" s="35"/>
    </row>
    <row r="977" spans="1:1" x14ac:dyDescent="0.25">
      <c r="A977" s="35"/>
    </row>
    <row r="978" spans="1:1" x14ac:dyDescent="0.25">
      <c r="A978" s="35"/>
    </row>
    <row r="979" spans="1:1" x14ac:dyDescent="0.25">
      <c r="A979" s="35"/>
    </row>
    <row r="980" spans="1:1" x14ac:dyDescent="0.25">
      <c r="A980" s="35"/>
    </row>
    <row r="981" spans="1:1" x14ac:dyDescent="0.25">
      <c r="A981" s="35"/>
    </row>
    <row r="982" spans="1:1" x14ac:dyDescent="0.25">
      <c r="A982" s="35"/>
    </row>
    <row r="983" spans="1:1" x14ac:dyDescent="0.25">
      <c r="A983" s="35"/>
    </row>
    <row r="984" spans="1:1" x14ac:dyDescent="0.25">
      <c r="A984" s="35"/>
    </row>
    <row r="985" spans="1:1" x14ac:dyDescent="0.25">
      <c r="A985" s="35"/>
    </row>
    <row r="986" spans="1:1" x14ac:dyDescent="0.25">
      <c r="A986" s="35"/>
    </row>
    <row r="987" spans="1:1" x14ac:dyDescent="0.25">
      <c r="A987" s="35"/>
    </row>
    <row r="988" spans="1:1" x14ac:dyDescent="0.25">
      <c r="A988" s="35"/>
    </row>
    <row r="989" spans="1:1" x14ac:dyDescent="0.25">
      <c r="A989" s="35"/>
    </row>
    <row r="990" spans="1:1" x14ac:dyDescent="0.25">
      <c r="A990" s="35"/>
    </row>
    <row r="991" spans="1:1" x14ac:dyDescent="0.25">
      <c r="A991" s="35"/>
    </row>
    <row r="992" spans="1:1" x14ac:dyDescent="0.25">
      <c r="A992" s="35"/>
    </row>
    <row r="993" spans="1:1" x14ac:dyDescent="0.25">
      <c r="A993" s="35"/>
    </row>
    <row r="994" spans="1:1" x14ac:dyDescent="0.25">
      <c r="A994" s="35"/>
    </row>
    <row r="995" spans="1:1" x14ac:dyDescent="0.25">
      <c r="A995" s="35"/>
    </row>
    <row r="996" spans="1:1" x14ac:dyDescent="0.25">
      <c r="A996" s="35"/>
    </row>
    <row r="997" spans="1:1" x14ac:dyDescent="0.25">
      <c r="A997" s="35"/>
    </row>
    <row r="998" spans="1:1" x14ac:dyDescent="0.25">
      <c r="A998" s="35"/>
    </row>
    <row r="999" spans="1:1" x14ac:dyDescent="0.25">
      <c r="A999" s="35"/>
    </row>
    <row r="1000" spans="1:1" x14ac:dyDescent="0.25">
      <c r="A1000" s="35"/>
    </row>
    <row r="1001" spans="1:1" x14ac:dyDescent="0.25">
      <c r="A1001" s="35"/>
    </row>
    <row r="1002" spans="1:1" x14ac:dyDescent="0.25">
      <c r="A1002" s="35"/>
    </row>
    <row r="1003" spans="1:1" x14ac:dyDescent="0.25">
      <c r="A1003" s="35"/>
    </row>
    <row r="1004" spans="1:1" x14ac:dyDescent="0.25">
      <c r="A1004" s="35"/>
    </row>
    <row r="1005" spans="1:1" x14ac:dyDescent="0.25">
      <c r="A1005" s="35"/>
    </row>
    <row r="1006" spans="1:1" x14ac:dyDescent="0.25">
      <c r="A1006" s="35"/>
    </row>
    <row r="1007" spans="1:1" x14ac:dyDescent="0.25">
      <c r="A1007" s="35"/>
    </row>
    <row r="1008" spans="1:1" x14ac:dyDescent="0.25">
      <c r="A1008" s="35"/>
    </row>
    <row r="1009" spans="1:1" x14ac:dyDescent="0.25">
      <c r="A1009" s="35"/>
    </row>
    <row r="1010" spans="1:1" x14ac:dyDescent="0.25">
      <c r="A1010" s="35"/>
    </row>
    <row r="1011" spans="1:1" ht="13.9" customHeight="1" x14ac:dyDescent="0.25">
      <c r="A1011" s="35"/>
    </row>
    <row r="1012" spans="1:1" x14ac:dyDescent="0.25">
      <c r="A1012" s="35"/>
    </row>
    <row r="1013" spans="1:1" x14ac:dyDescent="0.25">
      <c r="A1013" s="35"/>
    </row>
    <row r="1014" spans="1:1" x14ac:dyDescent="0.25">
      <c r="A1014" s="35"/>
    </row>
    <row r="1015" spans="1:1" x14ac:dyDescent="0.25">
      <c r="A1015" s="35"/>
    </row>
    <row r="1016" spans="1:1" x14ac:dyDescent="0.25">
      <c r="A1016" s="35"/>
    </row>
    <row r="1017" spans="1:1" x14ac:dyDescent="0.25">
      <c r="A1017" s="35"/>
    </row>
    <row r="1018" spans="1:1" x14ac:dyDescent="0.25">
      <c r="A1018" s="35"/>
    </row>
    <row r="1019" spans="1:1" x14ac:dyDescent="0.25">
      <c r="A1019" s="35"/>
    </row>
    <row r="1020" spans="1:1" x14ac:dyDescent="0.25">
      <c r="A1020" s="35"/>
    </row>
    <row r="1021" spans="1:1" x14ac:dyDescent="0.25">
      <c r="A1021" s="35"/>
    </row>
    <row r="1022" spans="1:1" x14ac:dyDescent="0.25">
      <c r="A1022" s="35"/>
    </row>
    <row r="1023" spans="1:1" x14ac:dyDescent="0.25">
      <c r="A1023" s="35"/>
    </row>
    <row r="1024" spans="1:1" x14ac:dyDescent="0.25">
      <c r="A1024" s="35"/>
    </row>
    <row r="1025" spans="1:1" x14ac:dyDescent="0.25">
      <c r="A1025" s="35"/>
    </row>
    <row r="1026" spans="1:1" x14ac:dyDescent="0.25">
      <c r="A1026" s="35"/>
    </row>
    <row r="1027" spans="1:1" x14ac:dyDescent="0.25">
      <c r="A1027" s="35"/>
    </row>
    <row r="1028" spans="1:1" x14ac:dyDescent="0.25">
      <c r="A1028" s="35"/>
    </row>
    <row r="1029" spans="1:1" x14ac:dyDescent="0.25">
      <c r="A1029" s="35"/>
    </row>
    <row r="1030" spans="1:1" x14ac:dyDescent="0.25">
      <c r="A1030" s="35"/>
    </row>
    <row r="1031" spans="1:1" x14ac:dyDescent="0.25">
      <c r="A1031" s="35"/>
    </row>
    <row r="1032" spans="1:1" x14ac:dyDescent="0.25">
      <c r="A1032" s="35"/>
    </row>
    <row r="1033" spans="1:1" x14ac:dyDescent="0.25">
      <c r="A1033" s="35"/>
    </row>
    <row r="1034" spans="1:1" x14ac:dyDescent="0.25">
      <c r="A1034" s="35"/>
    </row>
    <row r="1035" spans="1:1" x14ac:dyDescent="0.25">
      <c r="A1035" s="35"/>
    </row>
    <row r="1036" spans="1:1" x14ac:dyDescent="0.25">
      <c r="A1036" s="35"/>
    </row>
    <row r="1037" spans="1:1" x14ac:dyDescent="0.25">
      <c r="A1037" s="35"/>
    </row>
    <row r="1038" spans="1:1" x14ac:dyDescent="0.25">
      <c r="A1038" s="35"/>
    </row>
    <row r="1039" spans="1:1" x14ac:dyDescent="0.25">
      <c r="A1039" s="35"/>
    </row>
    <row r="1040" spans="1:1" x14ac:dyDescent="0.25">
      <c r="A1040" s="35"/>
    </row>
    <row r="1041" spans="1:1" x14ac:dyDescent="0.25">
      <c r="A1041" s="35"/>
    </row>
    <row r="1042" spans="1:1" x14ac:dyDescent="0.25">
      <c r="A1042" s="35"/>
    </row>
    <row r="1043" spans="1:1" x14ac:dyDescent="0.25">
      <c r="A1043" s="35"/>
    </row>
    <row r="1044" spans="1:1" x14ac:dyDescent="0.25">
      <c r="A1044" s="35"/>
    </row>
    <row r="1045" spans="1:1" x14ac:dyDescent="0.25">
      <c r="A1045" s="35"/>
    </row>
    <row r="1046" spans="1:1" x14ac:dyDescent="0.25">
      <c r="A1046" s="35"/>
    </row>
    <row r="1047" spans="1:1" x14ac:dyDescent="0.25">
      <c r="A1047" s="35"/>
    </row>
    <row r="1048" spans="1:1" x14ac:dyDescent="0.25">
      <c r="A1048" s="35"/>
    </row>
    <row r="1049" spans="1:1" x14ac:dyDescent="0.25">
      <c r="A1049" s="35"/>
    </row>
    <row r="1050" spans="1:1" x14ac:dyDescent="0.25">
      <c r="A1050" s="35"/>
    </row>
    <row r="1051" spans="1:1" x14ac:dyDescent="0.25">
      <c r="A1051" s="35"/>
    </row>
    <row r="1052" spans="1:1" x14ac:dyDescent="0.25">
      <c r="A1052" s="35"/>
    </row>
    <row r="1053" spans="1:1" x14ac:dyDescent="0.25">
      <c r="A1053" s="35"/>
    </row>
    <row r="1054" spans="1:1" x14ac:dyDescent="0.25">
      <c r="A1054" s="35"/>
    </row>
    <row r="1055" spans="1:1" x14ac:dyDescent="0.25">
      <c r="A1055" s="35"/>
    </row>
    <row r="1056" spans="1:1" x14ac:dyDescent="0.25">
      <c r="A1056" s="35"/>
    </row>
    <row r="1057" spans="1:1" x14ac:dyDescent="0.25">
      <c r="A1057" s="35"/>
    </row>
    <row r="1058" spans="1:1" x14ac:dyDescent="0.25">
      <c r="A1058" s="35"/>
    </row>
    <row r="1059" spans="1:1" x14ac:dyDescent="0.25">
      <c r="A1059" s="35"/>
    </row>
    <row r="1060" spans="1:1" x14ac:dyDescent="0.25">
      <c r="A1060" s="35"/>
    </row>
    <row r="1061" spans="1:1" x14ac:dyDescent="0.25">
      <c r="A1061" s="35"/>
    </row>
    <row r="1062" spans="1:1" x14ac:dyDescent="0.25">
      <c r="A1062" s="35"/>
    </row>
    <row r="1063" spans="1:1" x14ac:dyDescent="0.25">
      <c r="A1063" s="35"/>
    </row>
    <row r="1064" spans="1:1" x14ac:dyDescent="0.25">
      <c r="A1064" s="35"/>
    </row>
    <row r="1065" spans="1:1" x14ac:dyDescent="0.25">
      <c r="A1065" s="35"/>
    </row>
    <row r="1066" spans="1:1" x14ac:dyDescent="0.25">
      <c r="A1066" s="35"/>
    </row>
    <row r="1067" spans="1:1" x14ac:dyDescent="0.25">
      <c r="A1067" s="35"/>
    </row>
    <row r="1068" spans="1:1" x14ac:dyDescent="0.25">
      <c r="A1068" s="35"/>
    </row>
    <row r="1069" spans="1:1" x14ac:dyDescent="0.25">
      <c r="A1069" s="35"/>
    </row>
    <row r="1070" spans="1:1" x14ac:dyDescent="0.25">
      <c r="A1070" s="35"/>
    </row>
    <row r="1071" spans="1:1" x14ac:dyDescent="0.25">
      <c r="A1071" s="35"/>
    </row>
    <row r="1072" spans="1:1" x14ac:dyDescent="0.25">
      <c r="A1072" s="35"/>
    </row>
    <row r="1073" spans="1:1" x14ac:dyDescent="0.25">
      <c r="A1073" s="35"/>
    </row>
    <row r="1074" spans="1:1" x14ac:dyDescent="0.25">
      <c r="A1074" s="35"/>
    </row>
    <row r="1075" spans="1:1" x14ac:dyDescent="0.25">
      <c r="A1075" s="35"/>
    </row>
    <row r="1076" spans="1:1" x14ac:dyDescent="0.25">
      <c r="A1076" s="35"/>
    </row>
    <row r="1077" spans="1:1" x14ac:dyDescent="0.25">
      <c r="A1077" s="35"/>
    </row>
    <row r="1078" spans="1:1" x14ac:dyDescent="0.25">
      <c r="A1078" s="35"/>
    </row>
    <row r="1079" spans="1:1" x14ac:dyDescent="0.25">
      <c r="A1079" s="35"/>
    </row>
    <row r="1080" spans="1:1" x14ac:dyDescent="0.25">
      <c r="A1080" s="35"/>
    </row>
    <row r="1081" spans="1:1" x14ac:dyDescent="0.25">
      <c r="A1081" s="35"/>
    </row>
    <row r="1082" spans="1:1" x14ac:dyDescent="0.25">
      <c r="A1082" s="35"/>
    </row>
    <row r="1083" spans="1:1" x14ac:dyDescent="0.25">
      <c r="A1083" s="35"/>
    </row>
    <row r="1084" spans="1:1" x14ac:dyDescent="0.25">
      <c r="A1084" s="35"/>
    </row>
    <row r="1085" spans="1:1" x14ac:dyDescent="0.25">
      <c r="A1085" s="35"/>
    </row>
    <row r="1086" spans="1:1" x14ac:dyDescent="0.25">
      <c r="A1086" s="35"/>
    </row>
    <row r="1087" spans="1:1" x14ac:dyDescent="0.25">
      <c r="A1087" s="35"/>
    </row>
    <row r="1088" spans="1:1" x14ac:dyDescent="0.25">
      <c r="A1088" s="35"/>
    </row>
    <row r="1089" spans="1:1" x14ac:dyDescent="0.25">
      <c r="A1089" s="35"/>
    </row>
    <row r="1090" spans="1:1" x14ac:dyDescent="0.25">
      <c r="A1090" s="35"/>
    </row>
    <row r="1091" spans="1:1" x14ac:dyDescent="0.25">
      <c r="A1091" s="35"/>
    </row>
    <row r="1092" spans="1:1" x14ac:dyDescent="0.25">
      <c r="A1092" s="35"/>
    </row>
    <row r="1093" spans="1:1" x14ac:dyDescent="0.25">
      <c r="A1093" s="35"/>
    </row>
    <row r="1094" spans="1:1" x14ac:dyDescent="0.25">
      <c r="A1094" s="35"/>
    </row>
    <row r="1095" spans="1:1" x14ac:dyDescent="0.25">
      <c r="A1095" s="35"/>
    </row>
    <row r="1096" spans="1:1" x14ac:dyDescent="0.25">
      <c r="A1096" s="35"/>
    </row>
    <row r="1097" spans="1:1" x14ac:dyDescent="0.25">
      <c r="A1097" s="35"/>
    </row>
    <row r="1098" spans="1:1" x14ac:dyDescent="0.25">
      <c r="A1098" s="35"/>
    </row>
    <row r="1099" spans="1:1" x14ac:dyDescent="0.25">
      <c r="A1099" s="35"/>
    </row>
    <row r="1100" spans="1:1" x14ac:dyDescent="0.25">
      <c r="A1100" s="35"/>
    </row>
    <row r="1101" spans="1:1" x14ac:dyDescent="0.25">
      <c r="A1101" s="35"/>
    </row>
    <row r="1102" spans="1:1" x14ac:dyDescent="0.25">
      <c r="A1102" s="35"/>
    </row>
    <row r="1103" spans="1:1" x14ac:dyDescent="0.25">
      <c r="A1103" s="35"/>
    </row>
    <row r="1104" spans="1:1" x14ac:dyDescent="0.25">
      <c r="A1104" s="35"/>
    </row>
    <row r="1105" spans="1:1" x14ac:dyDescent="0.25">
      <c r="A1105" s="35"/>
    </row>
    <row r="1106" spans="1:1" x14ac:dyDescent="0.25">
      <c r="A1106" s="35"/>
    </row>
    <row r="1107" spans="1:1" x14ac:dyDescent="0.25">
      <c r="A1107" s="35"/>
    </row>
    <row r="1108" spans="1:1" x14ac:dyDescent="0.25">
      <c r="A1108" s="35"/>
    </row>
    <row r="1109" spans="1:1" x14ac:dyDescent="0.25">
      <c r="A1109" s="35"/>
    </row>
    <row r="1110" spans="1:1" x14ac:dyDescent="0.25">
      <c r="A1110" s="35"/>
    </row>
    <row r="1111" spans="1:1" x14ac:dyDescent="0.25">
      <c r="A1111" s="35"/>
    </row>
    <row r="1112" spans="1:1" x14ac:dyDescent="0.25">
      <c r="A1112" s="35"/>
    </row>
    <row r="1113" spans="1:1" x14ac:dyDescent="0.25">
      <c r="A1113" s="35"/>
    </row>
    <row r="1114" spans="1:1" x14ac:dyDescent="0.25">
      <c r="A1114" s="35"/>
    </row>
    <row r="1115" spans="1:1" x14ac:dyDescent="0.25">
      <c r="A1115" s="35"/>
    </row>
    <row r="1116" spans="1:1" x14ac:dyDescent="0.25">
      <c r="A1116" s="35"/>
    </row>
    <row r="1117" spans="1:1" x14ac:dyDescent="0.25">
      <c r="A1117" s="35"/>
    </row>
    <row r="1118" spans="1:1" x14ac:dyDescent="0.25">
      <c r="A1118" s="35"/>
    </row>
    <row r="1119" spans="1:1" x14ac:dyDescent="0.25">
      <c r="A1119" s="35"/>
    </row>
    <row r="1120" spans="1:1" x14ac:dyDescent="0.25">
      <c r="A1120" s="35"/>
    </row>
    <row r="1121" spans="1:1" x14ac:dyDescent="0.25">
      <c r="A1121" s="35"/>
    </row>
    <row r="1122" spans="1:1" x14ac:dyDescent="0.25">
      <c r="A1122" s="35"/>
    </row>
    <row r="1123" spans="1:1" x14ac:dyDescent="0.25">
      <c r="A1123" s="35"/>
    </row>
    <row r="1124" spans="1:1" x14ac:dyDescent="0.25">
      <c r="A1124" s="35"/>
    </row>
    <row r="1125" spans="1:1" x14ac:dyDescent="0.25">
      <c r="A1125" s="35"/>
    </row>
    <row r="1126" spans="1:1" x14ac:dyDescent="0.25">
      <c r="A1126" s="35"/>
    </row>
    <row r="1127" spans="1:1" x14ac:dyDescent="0.25">
      <c r="A1127" s="35"/>
    </row>
    <row r="1128" spans="1:1" x14ac:dyDescent="0.25">
      <c r="A1128" s="35"/>
    </row>
    <row r="1129" spans="1:1" x14ac:dyDescent="0.25">
      <c r="A1129" s="35"/>
    </row>
    <row r="1130" spans="1:1" x14ac:dyDescent="0.25">
      <c r="A1130" s="35"/>
    </row>
    <row r="1131" spans="1:1" x14ac:dyDescent="0.25">
      <c r="A1131" s="35"/>
    </row>
    <row r="1132" spans="1:1" x14ac:dyDescent="0.25">
      <c r="A1132" s="35"/>
    </row>
    <row r="1133" spans="1:1" x14ac:dyDescent="0.25">
      <c r="A1133" s="35"/>
    </row>
    <row r="1134" spans="1:1" x14ac:dyDescent="0.25">
      <c r="A1134" s="35"/>
    </row>
    <row r="1135" spans="1:1" x14ac:dyDescent="0.25">
      <c r="A1135" s="35"/>
    </row>
    <row r="1136" spans="1:1" x14ac:dyDescent="0.25">
      <c r="A1136" s="35"/>
    </row>
    <row r="1137" spans="1:16" x14ac:dyDescent="0.25">
      <c r="A1137" s="35"/>
    </row>
    <row r="1138" spans="1:16" x14ac:dyDescent="0.25">
      <c r="A1138" s="35"/>
    </row>
    <row r="1139" spans="1:16" x14ac:dyDescent="0.25">
      <c r="A1139" s="35"/>
    </row>
    <row r="1140" spans="1:16" x14ac:dyDescent="0.25">
      <c r="A1140" s="35"/>
    </row>
    <row r="1141" spans="1:16" x14ac:dyDescent="0.25">
      <c r="A1141" s="35"/>
    </row>
    <row r="1142" spans="1:16" x14ac:dyDescent="0.25">
      <c r="A1142" s="35"/>
    </row>
    <row r="1143" spans="1:16" x14ac:dyDescent="0.25">
      <c r="A1143" s="35"/>
    </row>
    <row r="1144" spans="1:16" x14ac:dyDescent="0.25">
      <c r="A1144" s="35"/>
    </row>
    <row r="1145" spans="1:16" x14ac:dyDescent="0.25">
      <c r="A1145" s="35"/>
    </row>
    <row r="1146" spans="1:16" ht="18.75" x14ac:dyDescent="0.3">
      <c r="A1146" s="35"/>
      <c r="N1146" s="41"/>
      <c r="O1146" s="41"/>
      <c r="P1146" s="41"/>
    </row>
    <row r="1147" spans="1:16" x14ac:dyDescent="0.25">
      <c r="A1147" s="35"/>
    </row>
    <row r="1148" spans="1:16" x14ac:dyDescent="0.25">
      <c r="A1148" s="35"/>
    </row>
    <row r="1149" spans="1:16" x14ac:dyDescent="0.25">
      <c r="A1149" s="35"/>
    </row>
    <row r="1150" spans="1:16" x14ac:dyDescent="0.25">
      <c r="A1150" s="35"/>
    </row>
    <row r="1151" spans="1:16" x14ac:dyDescent="0.25">
      <c r="A1151" s="35"/>
    </row>
    <row r="1152" spans="1:16" x14ac:dyDescent="0.25">
      <c r="A1152" s="35"/>
    </row>
    <row r="1153" spans="1:1" x14ac:dyDescent="0.25">
      <c r="A1153" s="35"/>
    </row>
    <row r="1154" spans="1:1" x14ac:dyDescent="0.25">
      <c r="A1154" s="35"/>
    </row>
    <row r="1155" spans="1:1" x14ac:dyDescent="0.25">
      <c r="A1155" s="35"/>
    </row>
    <row r="1156" spans="1:1" x14ac:dyDescent="0.25">
      <c r="A1156" s="35"/>
    </row>
    <row r="1157" spans="1:1" x14ac:dyDescent="0.25">
      <c r="A1157" s="35"/>
    </row>
    <row r="1158" spans="1:1" x14ac:dyDescent="0.25">
      <c r="A1158" s="35"/>
    </row>
    <row r="1159" spans="1:1" x14ac:dyDescent="0.25">
      <c r="A1159" s="35"/>
    </row>
    <row r="1160" spans="1:1" x14ac:dyDescent="0.25">
      <c r="A1160" s="35"/>
    </row>
    <row r="1161" spans="1:1" x14ac:dyDescent="0.25">
      <c r="A1161" s="35"/>
    </row>
    <row r="1162" spans="1:1" x14ac:dyDescent="0.25">
      <c r="A1162" s="35"/>
    </row>
    <row r="1163" spans="1:1" x14ac:dyDescent="0.25">
      <c r="A1163" s="35"/>
    </row>
    <row r="1164" spans="1:1" x14ac:dyDescent="0.25">
      <c r="A1164" s="35"/>
    </row>
    <row r="1165" spans="1:1" x14ac:dyDescent="0.25">
      <c r="A1165" s="35"/>
    </row>
    <row r="1166" spans="1:1" x14ac:dyDescent="0.25">
      <c r="A1166" s="35"/>
    </row>
    <row r="1167" spans="1:1" x14ac:dyDescent="0.25">
      <c r="A1167" s="35"/>
    </row>
    <row r="1168" spans="1:1" x14ac:dyDescent="0.25">
      <c r="A1168" s="35"/>
    </row>
    <row r="1169" spans="1:1" x14ac:dyDescent="0.25">
      <c r="A1169" s="35"/>
    </row>
    <row r="1170" spans="1:1" x14ac:dyDescent="0.25">
      <c r="A1170" s="35"/>
    </row>
    <row r="1171" spans="1:1" x14ac:dyDescent="0.25">
      <c r="A1171" s="35"/>
    </row>
    <row r="1172" spans="1:1" x14ac:dyDescent="0.25">
      <c r="A1172" s="35"/>
    </row>
    <row r="1173" spans="1:1" x14ac:dyDescent="0.25">
      <c r="A1173" s="35"/>
    </row>
    <row r="1174" spans="1:1" x14ac:dyDescent="0.25">
      <c r="A1174" s="35"/>
    </row>
    <row r="1175" spans="1:1" x14ac:dyDescent="0.25">
      <c r="A1175" s="35"/>
    </row>
    <row r="1176" spans="1:1" x14ac:dyDescent="0.25">
      <c r="A1176" s="35"/>
    </row>
    <row r="1177" spans="1:1" x14ac:dyDescent="0.25">
      <c r="A1177" s="35"/>
    </row>
    <row r="1178" spans="1:1" x14ac:dyDescent="0.25">
      <c r="A1178" s="35"/>
    </row>
    <row r="1179" spans="1:1" x14ac:dyDescent="0.25">
      <c r="A1179" s="35"/>
    </row>
    <row r="1180" spans="1:1" x14ac:dyDescent="0.25">
      <c r="A1180" s="35"/>
    </row>
    <row r="1181" spans="1:1" x14ac:dyDescent="0.25">
      <c r="A1181" s="35"/>
    </row>
    <row r="1182" spans="1:1" x14ac:dyDescent="0.25">
      <c r="A1182" s="35"/>
    </row>
    <row r="1183" spans="1:1" x14ac:dyDescent="0.25">
      <c r="A1183" s="35"/>
    </row>
    <row r="1184" spans="1:1" x14ac:dyDescent="0.25">
      <c r="A1184" s="35"/>
    </row>
    <row r="1185" spans="1:1" x14ac:dyDescent="0.25">
      <c r="A1185" s="35"/>
    </row>
    <row r="1186" spans="1:1" x14ac:dyDescent="0.25">
      <c r="A1186" s="35"/>
    </row>
    <row r="1187" spans="1:1" x14ac:dyDescent="0.25">
      <c r="A1187" s="35"/>
    </row>
    <row r="1188" spans="1:1" x14ac:dyDescent="0.25">
      <c r="A1188" s="35"/>
    </row>
    <row r="1189" spans="1:1" x14ac:dyDescent="0.25">
      <c r="A1189" s="35"/>
    </row>
    <row r="1190" spans="1:1" x14ac:dyDescent="0.25">
      <c r="A1190" s="35"/>
    </row>
    <row r="1191" spans="1:1" x14ac:dyDescent="0.25">
      <c r="A1191" s="35"/>
    </row>
    <row r="1192" spans="1:1" x14ac:dyDescent="0.25">
      <c r="A1192" s="35"/>
    </row>
    <row r="1193" spans="1:1" x14ac:dyDescent="0.25">
      <c r="A1193" s="35"/>
    </row>
    <row r="1194" spans="1:1" x14ac:dyDescent="0.25">
      <c r="A1194" s="35"/>
    </row>
    <row r="1195" spans="1:1" x14ac:dyDescent="0.25">
      <c r="A1195" s="35"/>
    </row>
    <row r="1196" spans="1:1" x14ac:dyDescent="0.25">
      <c r="A1196" s="35"/>
    </row>
    <row r="1197" spans="1:1" x14ac:dyDescent="0.25">
      <c r="A1197" s="35"/>
    </row>
    <row r="1198" spans="1:1" x14ac:dyDescent="0.25">
      <c r="A1198" s="35"/>
    </row>
    <row r="1199" spans="1:1" x14ac:dyDescent="0.25">
      <c r="A1199" s="35"/>
    </row>
    <row r="1200" spans="1:1" x14ac:dyDescent="0.25">
      <c r="A1200" s="35"/>
    </row>
    <row r="1201" spans="1:1" x14ac:dyDescent="0.25">
      <c r="A1201" s="35"/>
    </row>
    <row r="1202" spans="1:1" x14ac:dyDescent="0.25">
      <c r="A1202" s="35"/>
    </row>
    <row r="1203" spans="1:1" x14ac:dyDescent="0.25">
      <c r="A1203" s="35"/>
    </row>
    <row r="1204" spans="1:1" x14ac:dyDescent="0.25">
      <c r="A1204" s="35"/>
    </row>
    <row r="1205" spans="1:1" x14ac:dyDescent="0.25">
      <c r="A1205" s="35"/>
    </row>
    <row r="1206" spans="1:1" x14ac:dyDescent="0.25">
      <c r="A1206" s="35"/>
    </row>
    <row r="1207" spans="1:1" x14ac:dyDescent="0.25">
      <c r="A1207" s="35"/>
    </row>
    <row r="1208" spans="1:1" x14ac:dyDescent="0.25">
      <c r="A1208" s="35"/>
    </row>
    <row r="1209" spans="1:1" x14ac:dyDescent="0.25">
      <c r="A1209" s="35"/>
    </row>
    <row r="1210" spans="1:1" x14ac:dyDescent="0.25">
      <c r="A1210" s="35"/>
    </row>
    <row r="1211" spans="1:1" x14ac:dyDescent="0.25">
      <c r="A1211" s="35"/>
    </row>
    <row r="1212" spans="1:1" x14ac:dyDescent="0.25">
      <c r="A1212" s="35"/>
    </row>
    <row r="1213" spans="1:1" x14ac:dyDescent="0.25">
      <c r="A1213" s="35"/>
    </row>
    <row r="1214" spans="1:1" x14ac:dyDescent="0.25">
      <c r="A1214" s="35"/>
    </row>
    <row r="1215" spans="1:1" x14ac:dyDescent="0.25">
      <c r="A1215" s="35"/>
    </row>
    <row r="1216" spans="1:1" x14ac:dyDescent="0.25">
      <c r="A1216" s="35"/>
    </row>
    <row r="1217" spans="1:1" x14ac:dyDescent="0.25">
      <c r="A1217" s="35"/>
    </row>
    <row r="1218" spans="1:1" x14ac:dyDescent="0.25">
      <c r="A1218" s="35"/>
    </row>
    <row r="1219" spans="1:1" x14ac:dyDescent="0.25">
      <c r="A1219" s="35"/>
    </row>
    <row r="1220" spans="1:1" x14ac:dyDescent="0.25">
      <c r="A1220" s="35"/>
    </row>
    <row r="1221" spans="1:1" x14ac:dyDescent="0.25">
      <c r="A1221" s="35"/>
    </row>
    <row r="1222" spans="1:1" x14ac:dyDescent="0.25">
      <c r="A1222" s="35"/>
    </row>
    <row r="1223" spans="1:1" x14ac:dyDescent="0.25">
      <c r="A1223" s="35"/>
    </row>
    <row r="1224" spans="1:1" x14ac:dyDescent="0.25">
      <c r="A1224" s="35"/>
    </row>
    <row r="1225" spans="1:1" x14ac:dyDescent="0.25">
      <c r="A1225" s="35"/>
    </row>
    <row r="1226" spans="1:1" x14ac:dyDescent="0.25">
      <c r="A1226" s="35"/>
    </row>
    <row r="1227" spans="1:1" x14ac:dyDescent="0.25">
      <c r="A1227" s="35"/>
    </row>
    <row r="1228" spans="1:1" x14ac:dyDescent="0.25">
      <c r="A1228" s="35"/>
    </row>
    <row r="1229" spans="1:1" x14ac:dyDescent="0.25">
      <c r="A1229" s="35"/>
    </row>
    <row r="1230" spans="1:1" x14ac:dyDescent="0.25">
      <c r="A1230" s="35"/>
    </row>
    <row r="1231" spans="1:1" x14ac:dyDescent="0.25">
      <c r="A1231" s="35"/>
    </row>
    <row r="1232" spans="1:1" x14ac:dyDescent="0.25">
      <c r="A1232" s="35"/>
    </row>
    <row r="1233" spans="1:1" x14ac:dyDescent="0.25">
      <c r="A1233" s="35"/>
    </row>
    <row r="1234" spans="1:1" x14ac:dyDescent="0.25">
      <c r="A1234" s="35"/>
    </row>
    <row r="1235" spans="1:1" x14ac:dyDescent="0.25">
      <c r="A1235" s="35"/>
    </row>
    <row r="1236" spans="1:1" x14ac:dyDescent="0.25">
      <c r="A1236" s="35"/>
    </row>
    <row r="1237" spans="1:1" x14ac:dyDescent="0.25">
      <c r="A1237" s="35"/>
    </row>
    <row r="1238" spans="1:1" x14ac:dyDescent="0.25">
      <c r="A1238" s="35"/>
    </row>
    <row r="1239" spans="1:1" x14ac:dyDescent="0.25">
      <c r="A1239" s="35"/>
    </row>
    <row r="1240" spans="1:1" x14ac:dyDescent="0.25">
      <c r="A1240" s="35"/>
    </row>
    <row r="1241" spans="1:1" x14ac:dyDescent="0.25">
      <c r="A1241" s="35"/>
    </row>
    <row r="1242" spans="1:1" x14ac:dyDescent="0.25">
      <c r="A1242" s="35"/>
    </row>
    <row r="1243" spans="1:1" x14ac:dyDescent="0.25">
      <c r="A1243" s="35"/>
    </row>
    <row r="1244" spans="1:1" x14ac:dyDescent="0.25">
      <c r="A1244" s="35"/>
    </row>
    <row r="1245" spans="1:1" x14ac:dyDescent="0.25">
      <c r="A1245" s="35"/>
    </row>
    <row r="1246" spans="1:1" x14ac:dyDescent="0.25">
      <c r="A1246" s="35"/>
    </row>
    <row r="1247" spans="1:1" x14ac:dyDescent="0.25">
      <c r="A1247" s="35"/>
    </row>
    <row r="1248" spans="1:1" x14ac:dyDescent="0.25">
      <c r="A1248" s="35"/>
    </row>
    <row r="1249" spans="1:1" x14ac:dyDescent="0.25">
      <c r="A1249" s="35"/>
    </row>
    <row r="1250" spans="1:1" x14ac:dyDescent="0.25">
      <c r="A1250" s="35"/>
    </row>
    <row r="1251" spans="1:1" x14ac:dyDescent="0.25">
      <c r="A1251" s="35"/>
    </row>
    <row r="1252" spans="1:1" x14ac:dyDescent="0.25">
      <c r="A1252" s="35"/>
    </row>
    <row r="1253" spans="1:1" x14ac:dyDescent="0.25">
      <c r="A1253" s="35"/>
    </row>
    <row r="1254" spans="1:1" x14ac:dyDescent="0.25">
      <c r="A1254" s="35"/>
    </row>
    <row r="1255" spans="1:1" x14ac:dyDescent="0.25">
      <c r="A1255" s="35"/>
    </row>
    <row r="1256" spans="1:1" x14ac:dyDescent="0.25">
      <c r="A1256" s="35"/>
    </row>
    <row r="1257" spans="1:1" x14ac:dyDescent="0.25">
      <c r="A1257" s="35"/>
    </row>
    <row r="1258" spans="1:1" x14ac:dyDescent="0.25">
      <c r="A1258" s="35"/>
    </row>
    <row r="1259" spans="1:1" x14ac:dyDescent="0.25">
      <c r="A1259" s="35"/>
    </row>
    <row r="1260" spans="1:1" x14ac:dyDescent="0.25">
      <c r="A1260" s="35"/>
    </row>
    <row r="1261" spans="1:1" x14ac:dyDescent="0.25">
      <c r="A1261" s="35"/>
    </row>
    <row r="1262" spans="1:1" x14ac:dyDescent="0.25">
      <c r="A1262" s="35"/>
    </row>
    <row r="1263" spans="1:1" x14ac:dyDescent="0.25">
      <c r="A1263" s="35"/>
    </row>
    <row r="1264" spans="1:1" x14ac:dyDescent="0.25">
      <c r="A1264" s="35"/>
    </row>
    <row r="1265" spans="1:1" x14ac:dyDescent="0.25">
      <c r="A1265" s="35"/>
    </row>
    <row r="1266" spans="1:1" x14ac:dyDescent="0.25">
      <c r="A1266" s="35"/>
    </row>
    <row r="1267" spans="1:1" x14ac:dyDescent="0.25">
      <c r="A1267" s="35"/>
    </row>
    <row r="1268" spans="1:1" x14ac:dyDescent="0.25">
      <c r="A1268" s="35"/>
    </row>
    <row r="1269" spans="1:1" x14ac:dyDescent="0.25">
      <c r="A1269" s="35"/>
    </row>
    <row r="1270" spans="1:1" x14ac:dyDescent="0.25">
      <c r="A1270" s="35"/>
    </row>
    <row r="1271" spans="1:1" x14ac:dyDescent="0.25">
      <c r="A1271" s="35"/>
    </row>
    <row r="1272" spans="1:1" x14ac:dyDescent="0.25">
      <c r="A1272" s="35"/>
    </row>
    <row r="1273" spans="1:1" x14ac:dyDescent="0.25">
      <c r="A1273" s="35"/>
    </row>
    <row r="1274" spans="1:1" x14ac:dyDescent="0.25">
      <c r="A1274" s="35"/>
    </row>
    <row r="1275" spans="1:1" x14ac:dyDescent="0.25">
      <c r="A1275" s="35"/>
    </row>
    <row r="1276" spans="1:1" x14ac:dyDescent="0.25">
      <c r="A1276" s="35"/>
    </row>
    <row r="1277" spans="1:1" x14ac:dyDescent="0.25">
      <c r="A1277" s="35"/>
    </row>
    <row r="1278" spans="1:1" x14ac:dyDescent="0.25">
      <c r="A1278" s="35"/>
    </row>
    <row r="1279" spans="1:1" x14ac:dyDescent="0.25">
      <c r="A1279" s="35"/>
    </row>
    <row r="1280" spans="1:1" x14ac:dyDescent="0.25">
      <c r="A1280" s="35"/>
    </row>
    <row r="1281" spans="1:1" x14ac:dyDescent="0.25">
      <c r="A1281" s="35"/>
    </row>
    <row r="1282" spans="1:1" x14ac:dyDescent="0.25">
      <c r="A1282" s="35"/>
    </row>
    <row r="1283" spans="1:1" x14ac:dyDescent="0.25">
      <c r="A1283" s="35"/>
    </row>
    <row r="1284" spans="1:1" x14ac:dyDescent="0.25">
      <c r="A1284" s="35"/>
    </row>
    <row r="1285" spans="1:1" x14ac:dyDescent="0.25">
      <c r="A1285" s="35"/>
    </row>
    <row r="1286" spans="1:1" x14ac:dyDescent="0.25">
      <c r="A1286" s="35"/>
    </row>
    <row r="1287" spans="1:1" x14ac:dyDescent="0.25">
      <c r="A1287" s="35"/>
    </row>
    <row r="1288" spans="1:1" x14ac:dyDescent="0.25">
      <c r="A1288" s="35"/>
    </row>
    <row r="1289" spans="1:1" x14ac:dyDescent="0.25">
      <c r="A1289" s="35"/>
    </row>
    <row r="1290" spans="1:1" x14ac:dyDescent="0.25">
      <c r="A1290" s="35"/>
    </row>
    <row r="1291" spans="1:1" x14ac:dyDescent="0.25">
      <c r="A1291" s="35"/>
    </row>
    <row r="1292" spans="1:1" x14ac:dyDescent="0.25">
      <c r="A1292" s="35"/>
    </row>
    <row r="1293" spans="1:1" x14ac:dyDescent="0.25">
      <c r="A1293" s="35"/>
    </row>
    <row r="1294" spans="1:1" x14ac:dyDescent="0.25">
      <c r="A1294" s="35"/>
    </row>
    <row r="1295" spans="1:1" x14ac:dyDescent="0.25">
      <c r="A1295" s="35"/>
    </row>
    <row r="1296" spans="1:1" x14ac:dyDescent="0.25">
      <c r="A1296" s="35"/>
    </row>
    <row r="1297" spans="1:1" x14ac:dyDescent="0.25">
      <c r="A1297" s="35"/>
    </row>
    <row r="1298" spans="1:1" x14ac:dyDescent="0.25">
      <c r="A1298" s="35"/>
    </row>
    <row r="1299" spans="1:1" x14ac:dyDescent="0.25">
      <c r="A1299" s="35"/>
    </row>
    <row r="1300" spans="1:1" x14ac:dyDescent="0.25">
      <c r="A1300" s="35"/>
    </row>
    <row r="1301" spans="1:1" x14ac:dyDescent="0.25">
      <c r="A1301" s="35"/>
    </row>
    <row r="1302" spans="1:1" x14ac:dyDescent="0.25">
      <c r="A1302" s="35"/>
    </row>
    <row r="1303" spans="1:1" x14ac:dyDescent="0.25">
      <c r="A1303" s="35"/>
    </row>
    <row r="1304" spans="1:1" x14ac:dyDescent="0.25">
      <c r="A1304" s="35"/>
    </row>
    <row r="1305" spans="1:1" x14ac:dyDescent="0.25">
      <c r="A1305" s="35"/>
    </row>
    <row r="1306" spans="1:1" x14ac:dyDescent="0.25">
      <c r="A1306" s="35"/>
    </row>
    <row r="1307" spans="1:1" x14ac:dyDescent="0.25">
      <c r="A1307" s="35"/>
    </row>
    <row r="1308" spans="1:1" x14ac:dyDescent="0.25">
      <c r="A1308" s="35"/>
    </row>
    <row r="1309" spans="1:1" x14ac:dyDescent="0.25">
      <c r="A1309" s="35"/>
    </row>
    <row r="1310" spans="1:1" x14ac:dyDescent="0.25">
      <c r="A1310" s="35"/>
    </row>
    <row r="1311" spans="1:1" x14ac:dyDescent="0.25">
      <c r="A1311" s="35"/>
    </row>
    <row r="1312" spans="1:1" x14ac:dyDescent="0.25">
      <c r="A1312" s="35"/>
    </row>
    <row r="1313" spans="1:1" x14ac:dyDescent="0.25">
      <c r="A1313" s="35"/>
    </row>
    <row r="1314" spans="1:1" x14ac:dyDescent="0.25">
      <c r="A1314" s="35"/>
    </row>
    <row r="1315" spans="1:1" x14ac:dyDescent="0.25">
      <c r="A1315" s="35"/>
    </row>
    <row r="1316" spans="1:1" x14ac:dyDescent="0.25">
      <c r="A1316" s="35"/>
    </row>
    <row r="1317" spans="1:1" x14ac:dyDescent="0.25">
      <c r="A1317" s="35"/>
    </row>
    <row r="1318" spans="1:1" x14ac:dyDescent="0.25">
      <c r="A1318" s="35"/>
    </row>
    <row r="1319" spans="1:1" x14ac:dyDescent="0.25">
      <c r="A1319" s="35"/>
    </row>
    <row r="1320" spans="1:1" x14ac:dyDescent="0.25">
      <c r="A1320" s="35"/>
    </row>
    <row r="1321" spans="1:1" x14ac:dyDescent="0.25">
      <c r="A1321" s="35"/>
    </row>
    <row r="1322" spans="1:1" x14ac:dyDescent="0.25">
      <c r="A1322" s="35"/>
    </row>
    <row r="1323" spans="1:1" x14ac:dyDescent="0.25">
      <c r="A1323" s="35"/>
    </row>
    <row r="1324" spans="1:1" x14ac:dyDescent="0.25">
      <c r="A1324" s="35"/>
    </row>
    <row r="1325" spans="1:1" x14ac:dyDescent="0.25">
      <c r="A1325" s="35"/>
    </row>
    <row r="1326" spans="1:1" x14ac:dyDescent="0.25">
      <c r="A1326" s="35"/>
    </row>
    <row r="1327" spans="1:1" x14ac:dyDescent="0.25">
      <c r="A1327" s="35"/>
    </row>
    <row r="1328" spans="1:1" x14ac:dyDescent="0.25">
      <c r="A1328" s="35"/>
    </row>
    <row r="1329" spans="1:1" x14ac:dyDescent="0.25">
      <c r="A1329" s="35"/>
    </row>
    <row r="1330" spans="1:1" x14ac:dyDescent="0.25">
      <c r="A1330" s="35"/>
    </row>
    <row r="1331" spans="1:1" x14ac:dyDescent="0.25">
      <c r="A1331" s="35"/>
    </row>
    <row r="1332" spans="1:1" x14ac:dyDescent="0.25">
      <c r="A1332" s="35"/>
    </row>
    <row r="1333" spans="1:1" x14ac:dyDescent="0.25">
      <c r="A1333" s="35"/>
    </row>
    <row r="1334" spans="1:1" x14ac:dyDescent="0.25">
      <c r="A1334" s="35"/>
    </row>
    <row r="1335" spans="1:1" x14ac:dyDescent="0.25">
      <c r="A1335" s="35"/>
    </row>
    <row r="1336" spans="1:1" x14ac:dyDescent="0.25">
      <c r="A1336" s="35"/>
    </row>
    <row r="1337" spans="1:1" x14ac:dyDescent="0.25">
      <c r="A1337" s="35"/>
    </row>
    <row r="1338" spans="1:1" x14ac:dyDescent="0.25">
      <c r="A1338" s="35"/>
    </row>
    <row r="1339" spans="1:1" x14ac:dyDescent="0.25">
      <c r="A1339" s="35"/>
    </row>
    <row r="1340" spans="1:1" x14ac:dyDescent="0.25">
      <c r="A1340" s="35"/>
    </row>
    <row r="1341" spans="1:1" x14ac:dyDescent="0.25">
      <c r="A1341" s="35"/>
    </row>
    <row r="1342" spans="1:1" x14ac:dyDescent="0.25">
      <c r="A1342" s="35"/>
    </row>
    <row r="1343" spans="1:1" x14ac:dyDescent="0.25">
      <c r="A1343" s="35"/>
    </row>
    <row r="1344" spans="1:1" x14ac:dyDescent="0.25">
      <c r="A1344" s="35"/>
    </row>
    <row r="1345" spans="1:1" x14ac:dyDescent="0.25">
      <c r="A1345" s="35"/>
    </row>
    <row r="1346" spans="1:1" x14ac:dyDescent="0.25">
      <c r="A1346" s="35"/>
    </row>
    <row r="1347" spans="1:1" x14ac:dyDescent="0.25">
      <c r="A1347" s="35"/>
    </row>
    <row r="1348" spans="1:1" x14ac:dyDescent="0.25">
      <c r="A1348" s="35"/>
    </row>
    <row r="1349" spans="1:1" x14ac:dyDescent="0.25">
      <c r="A1349" s="35"/>
    </row>
    <row r="1350" spans="1:1" x14ac:dyDescent="0.25">
      <c r="A1350" s="35"/>
    </row>
    <row r="1351" spans="1:1" x14ac:dyDescent="0.25">
      <c r="A1351" s="35"/>
    </row>
    <row r="1352" spans="1:1" x14ac:dyDescent="0.25">
      <c r="A1352" s="35"/>
    </row>
    <row r="1353" spans="1:1" x14ac:dyDescent="0.25">
      <c r="A1353" s="35"/>
    </row>
    <row r="1354" spans="1:1" x14ac:dyDescent="0.25">
      <c r="A1354" s="35"/>
    </row>
    <row r="1355" spans="1:1" x14ac:dyDescent="0.25">
      <c r="A1355" s="35"/>
    </row>
    <row r="1356" spans="1:1" x14ac:dyDescent="0.25">
      <c r="A1356" s="35"/>
    </row>
    <row r="1357" spans="1:1" x14ac:dyDescent="0.25">
      <c r="A1357" s="35"/>
    </row>
    <row r="1358" spans="1:1" x14ac:dyDescent="0.25">
      <c r="A1358" s="35"/>
    </row>
    <row r="1359" spans="1:1" x14ac:dyDescent="0.25">
      <c r="A1359" s="35"/>
    </row>
    <row r="1360" spans="1:1" x14ac:dyDescent="0.25">
      <c r="A1360" s="35"/>
    </row>
    <row r="1361" spans="1:1" x14ac:dyDescent="0.25">
      <c r="A1361" s="35"/>
    </row>
    <row r="1362" spans="1:1" x14ac:dyDescent="0.25">
      <c r="A1362" s="35"/>
    </row>
    <row r="1363" spans="1:1" x14ac:dyDescent="0.25">
      <c r="A1363" s="35"/>
    </row>
    <row r="1364" spans="1:1" x14ac:dyDescent="0.25">
      <c r="A1364" s="35"/>
    </row>
    <row r="1365" spans="1:1" x14ac:dyDescent="0.25">
      <c r="A1365" s="35"/>
    </row>
    <row r="1366" spans="1:1" x14ac:dyDescent="0.25">
      <c r="A1366" s="35"/>
    </row>
    <row r="1367" spans="1:1" x14ac:dyDescent="0.25">
      <c r="A1367" s="35"/>
    </row>
    <row r="1368" spans="1:1" x14ac:dyDescent="0.25">
      <c r="A1368" s="35"/>
    </row>
    <row r="1369" spans="1:1" x14ac:dyDescent="0.25">
      <c r="A1369" s="35"/>
    </row>
    <row r="1370" spans="1:1" x14ac:dyDescent="0.25">
      <c r="A1370" s="35"/>
    </row>
    <row r="1371" spans="1:1" x14ac:dyDescent="0.25">
      <c r="A1371" s="35"/>
    </row>
    <row r="1372" spans="1:1" x14ac:dyDescent="0.25">
      <c r="A1372" s="35"/>
    </row>
    <row r="1373" spans="1:1" x14ac:dyDescent="0.25">
      <c r="A1373" s="35"/>
    </row>
    <row r="1374" spans="1:1" x14ac:dyDescent="0.25">
      <c r="A1374" s="35"/>
    </row>
    <row r="1375" spans="1:1" x14ac:dyDescent="0.25">
      <c r="A1375" s="35"/>
    </row>
    <row r="1376" spans="1:1" x14ac:dyDescent="0.25">
      <c r="A1376" s="35"/>
    </row>
    <row r="1377" spans="1:1" x14ac:dyDescent="0.25">
      <c r="A1377" s="35"/>
    </row>
    <row r="1378" spans="1:1" x14ac:dyDescent="0.25">
      <c r="A1378" s="35"/>
    </row>
    <row r="1379" spans="1:1" x14ac:dyDescent="0.25">
      <c r="A1379" s="35"/>
    </row>
    <row r="1380" spans="1:1" x14ac:dyDescent="0.25">
      <c r="A1380" s="35"/>
    </row>
    <row r="1381" spans="1:1" x14ac:dyDescent="0.25">
      <c r="A1381" s="35"/>
    </row>
    <row r="1382" spans="1:1" x14ac:dyDescent="0.25">
      <c r="A1382" s="35"/>
    </row>
    <row r="1383" spans="1:1" x14ac:dyDescent="0.25">
      <c r="A1383" s="35"/>
    </row>
    <row r="1384" spans="1:1" x14ac:dyDescent="0.25">
      <c r="A1384" s="35"/>
    </row>
    <row r="1385" spans="1:1" x14ac:dyDescent="0.25">
      <c r="A1385" s="35"/>
    </row>
    <row r="1386" spans="1:1" x14ac:dyDescent="0.25">
      <c r="A1386" s="35"/>
    </row>
    <row r="1387" spans="1:1" x14ac:dyDescent="0.25">
      <c r="A1387" s="35"/>
    </row>
    <row r="1388" spans="1:1" x14ac:dyDescent="0.25">
      <c r="A1388" s="35"/>
    </row>
    <row r="1389" spans="1:1" x14ac:dyDescent="0.25">
      <c r="A1389" s="35"/>
    </row>
    <row r="1390" spans="1:1" x14ac:dyDescent="0.25">
      <c r="A1390" s="35"/>
    </row>
    <row r="1391" spans="1:1" x14ac:dyDescent="0.25">
      <c r="A1391" s="35"/>
    </row>
    <row r="1392" spans="1:1" x14ac:dyDescent="0.25">
      <c r="A1392" s="35"/>
    </row>
    <row r="1393" spans="1:1" x14ac:dyDescent="0.25">
      <c r="A1393" s="35"/>
    </row>
    <row r="1394" spans="1:1" x14ac:dyDescent="0.25">
      <c r="A1394" s="35"/>
    </row>
    <row r="1395" spans="1:1" x14ac:dyDescent="0.25">
      <c r="A1395" s="35"/>
    </row>
    <row r="1396" spans="1:1" x14ac:dyDescent="0.25">
      <c r="A1396" s="35"/>
    </row>
    <row r="1397" spans="1:1" x14ac:dyDescent="0.25">
      <c r="A1397" s="35"/>
    </row>
    <row r="1398" spans="1:1" x14ac:dyDescent="0.25">
      <c r="A1398" s="35"/>
    </row>
    <row r="1399" spans="1:1" x14ac:dyDescent="0.25">
      <c r="A1399" s="35"/>
    </row>
    <row r="1400" spans="1:1" x14ac:dyDescent="0.25">
      <c r="A1400" s="35"/>
    </row>
    <row r="1401" spans="1:1" x14ac:dyDescent="0.25">
      <c r="A1401" s="35"/>
    </row>
    <row r="1402" spans="1:1" x14ac:dyDescent="0.25">
      <c r="A1402" s="35"/>
    </row>
    <row r="1403" spans="1:1" x14ac:dyDescent="0.25">
      <c r="A1403" s="35"/>
    </row>
    <row r="1404" spans="1:1" x14ac:dyDescent="0.25">
      <c r="A1404" s="35"/>
    </row>
    <row r="1405" spans="1:1" x14ac:dyDescent="0.25">
      <c r="A1405" s="35"/>
    </row>
    <row r="1406" spans="1:1" x14ac:dyDescent="0.25">
      <c r="A1406" s="35"/>
    </row>
    <row r="1407" spans="1:1" x14ac:dyDescent="0.25">
      <c r="A1407" s="35"/>
    </row>
    <row r="1408" spans="1:1" x14ac:dyDescent="0.25">
      <c r="A1408" s="35"/>
    </row>
    <row r="1409" spans="1:1" x14ac:dyDescent="0.25">
      <c r="A1409" s="35"/>
    </row>
    <row r="1410" spans="1:1" x14ac:dyDescent="0.25">
      <c r="A1410" s="35"/>
    </row>
    <row r="1411" spans="1:1" x14ac:dyDescent="0.25">
      <c r="A1411" s="35"/>
    </row>
    <row r="1412" spans="1:1" x14ac:dyDescent="0.25">
      <c r="A1412" s="35"/>
    </row>
    <row r="1413" spans="1:1" x14ac:dyDescent="0.25">
      <c r="A1413" s="35"/>
    </row>
    <row r="1414" spans="1:1" x14ac:dyDescent="0.25">
      <c r="A1414" s="35"/>
    </row>
    <row r="1417" spans="1:1" x14ac:dyDescent="0.25">
      <c r="A1417" s="35"/>
    </row>
    <row r="1418" spans="1:1" x14ac:dyDescent="0.25">
      <c r="A1418" s="35"/>
    </row>
    <row r="1419" spans="1:1" x14ac:dyDescent="0.25">
      <c r="A1419" s="35"/>
    </row>
    <row r="1420" spans="1:1" x14ac:dyDescent="0.25">
      <c r="A1420" s="35"/>
    </row>
    <row r="1421" spans="1:1" x14ac:dyDescent="0.25">
      <c r="A1421" s="35"/>
    </row>
    <row r="1422" spans="1:1" x14ac:dyDescent="0.25">
      <c r="A1422" s="35"/>
    </row>
    <row r="1423" spans="1:1" x14ac:dyDescent="0.25">
      <c r="A1423" s="35"/>
    </row>
    <row r="1424" spans="1:1" x14ac:dyDescent="0.25">
      <c r="A1424" s="35"/>
    </row>
    <row r="1425" spans="1:1" x14ac:dyDescent="0.25">
      <c r="A1425" s="35"/>
    </row>
    <row r="1428" spans="1:1" x14ac:dyDescent="0.25">
      <c r="A1428" s="35"/>
    </row>
    <row r="1429" spans="1:1" x14ac:dyDescent="0.25">
      <c r="A1429" s="35"/>
    </row>
    <row r="1430" spans="1:1" x14ac:dyDescent="0.25">
      <c r="A1430" s="35"/>
    </row>
    <row r="1431" spans="1:1" x14ac:dyDescent="0.25">
      <c r="A1431" s="35"/>
    </row>
    <row r="1432" spans="1:1" x14ac:dyDescent="0.25">
      <c r="A1432" s="35"/>
    </row>
    <row r="1433" spans="1:1" x14ac:dyDescent="0.25">
      <c r="A1433" s="35"/>
    </row>
    <row r="1434" spans="1:1" x14ac:dyDescent="0.25">
      <c r="A1434" s="35"/>
    </row>
    <row r="1435" spans="1:1" x14ac:dyDescent="0.25">
      <c r="A1435" s="35"/>
    </row>
    <row r="1436" spans="1:1" x14ac:dyDescent="0.25">
      <c r="A1436" s="35"/>
    </row>
    <row r="1437" spans="1:1" x14ac:dyDescent="0.25">
      <c r="A1437" s="35"/>
    </row>
    <row r="1438" spans="1:1" x14ac:dyDescent="0.25">
      <c r="A1438" s="35"/>
    </row>
    <row r="1439" spans="1:1" x14ac:dyDescent="0.25">
      <c r="A1439" s="35"/>
    </row>
    <row r="1440" spans="1:1" x14ac:dyDescent="0.25">
      <c r="A1440" s="35"/>
    </row>
    <row r="1441" spans="1:1" x14ac:dyDescent="0.25">
      <c r="A1441" s="35"/>
    </row>
    <row r="1442" spans="1:1" x14ac:dyDescent="0.25">
      <c r="A1442" s="35"/>
    </row>
    <row r="1443" spans="1:1" x14ac:dyDescent="0.25">
      <c r="A1443" s="35"/>
    </row>
    <row r="1444" spans="1:1" x14ac:dyDescent="0.25">
      <c r="A1444" s="35"/>
    </row>
    <row r="1445" spans="1:1" x14ac:dyDescent="0.25">
      <c r="A1445" s="35"/>
    </row>
    <row r="1446" spans="1:1" x14ac:dyDescent="0.25">
      <c r="A1446" s="35"/>
    </row>
    <row r="1447" spans="1:1" x14ac:dyDescent="0.25">
      <c r="A1447" s="35"/>
    </row>
    <row r="1448" spans="1:1" x14ac:dyDescent="0.25">
      <c r="A1448" s="35"/>
    </row>
    <row r="1449" spans="1:1" x14ac:dyDescent="0.25">
      <c r="A1449" s="35"/>
    </row>
    <row r="1450" spans="1:1" x14ac:dyDescent="0.25">
      <c r="A1450" s="35"/>
    </row>
    <row r="1451" spans="1:1" x14ac:dyDescent="0.25">
      <c r="A1451" s="35"/>
    </row>
    <row r="1452" spans="1:1" x14ac:dyDescent="0.25">
      <c r="A1452" s="35"/>
    </row>
    <row r="1453" spans="1:1" x14ac:dyDescent="0.25">
      <c r="A1453" s="35"/>
    </row>
    <row r="1454" spans="1:1" x14ac:dyDescent="0.25">
      <c r="A1454" s="35"/>
    </row>
    <row r="1455" spans="1:1" x14ac:dyDescent="0.25">
      <c r="A1455" s="35"/>
    </row>
    <row r="1456" spans="1:1" x14ac:dyDescent="0.25">
      <c r="A1456" s="35"/>
    </row>
    <row r="1457" spans="1:1" x14ac:dyDescent="0.25">
      <c r="A1457" s="35"/>
    </row>
    <row r="1458" spans="1:1" x14ac:dyDescent="0.25">
      <c r="A1458" s="35"/>
    </row>
    <row r="1459" spans="1:1" x14ac:dyDescent="0.25">
      <c r="A1459" s="35"/>
    </row>
    <row r="1460" spans="1:1" x14ac:dyDescent="0.25">
      <c r="A1460" s="35"/>
    </row>
    <row r="1461" spans="1:1" x14ac:dyDescent="0.25">
      <c r="A1461" s="35"/>
    </row>
    <row r="1462" spans="1:1" x14ac:dyDescent="0.25">
      <c r="A1462" s="35"/>
    </row>
    <row r="1463" spans="1:1" x14ac:dyDescent="0.25">
      <c r="A1463" s="35"/>
    </row>
    <row r="1464" spans="1:1" x14ac:dyDescent="0.25">
      <c r="A1464" s="35"/>
    </row>
    <row r="1465" spans="1:1" x14ac:dyDescent="0.25">
      <c r="A1465" s="35"/>
    </row>
    <row r="1466" spans="1:1" x14ac:dyDescent="0.25">
      <c r="A1466" s="35"/>
    </row>
    <row r="1467" spans="1:1" x14ac:dyDescent="0.25">
      <c r="A1467" s="35"/>
    </row>
    <row r="1468" spans="1:1" x14ac:dyDescent="0.25">
      <c r="A1468" s="35"/>
    </row>
    <row r="1469" spans="1:1" x14ac:dyDescent="0.25">
      <c r="A1469" s="35"/>
    </row>
    <row r="1470" spans="1:1" x14ac:dyDescent="0.25">
      <c r="A1470" s="35"/>
    </row>
    <row r="1471" spans="1:1" x14ac:dyDescent="0.25">
      <c r="A1471" s="35"/>
    </row>
    <row r="1472" spans="1:1" x14ac:dyDescent="0.25">
      <c r="A1472" s="35"/>
    </row>
    <row r="1473" spans="1:1" x14ac:dyDescent="0.25">
      <c r="A1473" s="35"/>
    </row>
    <row r="1474" spans="1:1" x14ac:dyDescent="0.25">
      <c r="A1474" s="35"/>
    </row>
    <row r="1475" spans="1:1" x14ac:dyDescent="0.25">
      <c r="A1475" s="35"/>
    </row>
    <row r="1476" spans="1:1" x14ac:dyDescent="0.25">
      <c r="A1476" s="35"/>
    </row>
    <row r="1477" spans="1:1" x14ac:dyDescent="0.25">
      <c r="A1477" s="35"/>
    </row>
    <row r="1478" spans="1:1" x14ac:dyDescent="0.25">
      <c r="A1478" s="35"/>
    </row>
    <row r="1479" spans="1:1" x14ac:dyDescent="0.25">
      <c r="A1479" s="35"/>
    </row>
    <row r="1480" spans="1:1" x14ac:dyDescent="0.25">
      <c r="A1480" s="35"/>
    </row>
    <row r="1481" spans="1:1" x14ac:dyDescent="0.25">
      <c r="A1481" s="35"/>
    </row>
    <row r="1482" spans="1:1" x14ac:dyDescent="0.25">
      <c r="A1482" s="35"/>
    </row>
    <row r="1483" spans="1:1" x14ac:dyDescent="0.25">
      <c r="A1483" s="35"/>
    </row>
    <row r="1484" spans="1:1" x14ac:dyDescent="0.25">
      <c r="A1484" s="35"/>
    </row>
    <row r="1485" spans="1:1" x14ac:dyDescent="0.25">
      <c r="A1485" s="35"/>
    </row>
    <row r="1486" spans="1:1" x14ac:dyDescent="0.25">
      <c r="A1486" s="35"/>
    </row>
    <row r="1487" spans="1:1" x14ac:dyDescent="0.25">
      <c r="A1487" s="35"/>
    </row>
    <row r="1488" spans="1:1" x14ac:dyDescent="0.25">
      <c r="A1488" s="35"/>
    </row>
    <row r="1489" spans="1:1" x14ac:dyDescent="0.25">
      <c r="A1489" s="35"/>
    </row>
    <row r="1490" spans="1:1" x14ac:dyDescent="0.25">
      <c r="A1490" s="35"/>
    </row>
    <row r="1491" spans="1:1" x14ac:dyDescent="0.25">
      <c r="A1491" s="35"/>
    </row>
    <row r="1492" spans="1:1" x14ac:dyDescent="0.25">
      <c r="A1492" s="35"/>
    </row>
    <row r="1493" spans="1:1" x14ac:dyDescent="0.25">
      <c r="A1493" s="35"/>
    </row>
    <row r="1494" spans="1:1" x14ac:dyDescent="0.25">
      <c r="A1494" s="35"/>
    </row>
    <row r="1495" spans="1:1" x14ac:dyDescent="0.25">
      <c r="A1495" s="35"/>
    </row>
    <row r="1496" spans="1:1" x14ac:dyDescent="0.25">
      <c r="A1496" s="35"/>
    </row>
    <row r="1497" spans="1:1" x14ac:dyDescent="0.25">
      <c r="A1497" s="35"/>
    </row>
    <row r="1498" spans="1:1" x14ac:dyDescent="0.25">
      <c r="A1498" s="35"/>
    </row>
    <row r="1499" spans="1:1" x14ac:dyDescent="0.25">
      <c r="A1499" s="35"/>
    </row>
    <row r="1500" spans="1:1" x14ac:dyDescent="0.25">
      <c r="A1500" s="35"/>
    </row>
    <row r="1501" spans="1:1" x14ac:dyDescent="0.25">
      <c r="A1501" s="35"/>
    </row>
    <row r="1502" spans="1:1" x14ac:dyDescent="0.25">
      <c r="A1502" s="35"/>
    </row>
    <row r="1503" spans="1:1" x14ac:dyDescent="0.25">
      <c r="A1503" s="35"/>
    </row>
    <row r="1504" spans="1:1" x14ac:dyDescent="0.25">
      <c r="A1504" s="35"/>
    </row>
    <row r="1505" spans="1:1" x14ac:dyDescent="0.25">
      <c r="A1505" s="35"/>
    </row>
    <row r="1506" spans="1:1" x14ac:dyDescent="0.25">
      <c r="A1506" s="35"/>
    </row>
    <row r="1507" spans="1:1" x14ac:dyDescent="0.25">
      <c r="A1507" s="35"/>
    </row>
    <row r="1508" spans="1:1" x14ac:dyDescent="0.25">
      <c r="A1508" s="35"/>
    </row>
    <row r="1509" spans="1:1" x14ac:dyDescent="0.25">
      <c r="A1509" s="35"/>
    </row>
    <row r="1510" spans="1:1" x14ac:dyDescent="0.25">
      <c r="A1510" s="35"/>
    </row>
    <row r="1511" spans="1:1" x14ac:dyDescent="0.25">
      <c r="A1511" s="35"/>
    </row>
    <row r="1512" spans="1:1" x14ac:dyDescent="0.25">
      <c r="A1512" s="35"/>
    </row>
    <row r="1513" spans="1:1" x14ac:dyDescent="0.25">
      <c r="A1513" s="35"/>
    </row>
    <row r="1514" spans="1:1" x14ac:dyDescent="0.25">
      <c r="A1514" s="35"/>
    </row>
    <row r="1515" spans="1:1" x14ac:dyDescent="0.25">
      <c r="A1515" s="35"/>
    </row>
    <row r="1516" spans="1:1" x14ac:dyDescent="0.25">
      <c r="A1516" s="35"/>
    </row>
    <row r="1517" spans="1:1" x14ac:dyDescent="0.25">
      <c r="A1517" s="35"/>
    </row>
    <row r="1518" spans="1:1" x14ac:dyDescent="0.25">
      <c r="A1518" s="35"/>
    </row>
    <row r="1519" spans="1:1" x14ac:dyDescent="0.25">
      <c r="A1519" s="35"/>
    </row>
    <row r="1520" spans="1:1" x14ac:dyDescent="0.25">
      <c r="A1520" s="35"/>
    </row>
    <row r="1521" spans="1:1" x14ac:dyDescent="0.25">
      <c r="A1521" s="35"/>
    </row>
    <row r="1522" spans="1:1" x14ac:dyDescent="0.25">
      <c r="A1522" s="35"/>
    </row>
  </sheetData>
  <phoneticPr fontId="2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/>
  <dimension ref="A1:P1337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9.7109375" style="33" bestFit="1" customWidth="1"/>
    <col min="2" max="2" width="8.85546875" style="33" customWidth="1"/>
    <col min="3" max="3" width="26" style="33" customWidth="1"/>
    <col min="4" max="4" width="6.140625" style="33" bestFit="1" customWidth="1"/>
    <col min="5" max="5" width="8.28515625" style="33" bestFit="1" customWidth="1"/>
    <col min="6" max="7" width="12.7109375" style="34" bestFit="1" customWidth="1"/>
    <col min="8" max="8" width="19.7109375" style="57" customWidth="1"/>
    <col min="9" max="9" width="10.140625" style="33" customWidth="1"/>
    <col min="10" max="10" width="16.42578125" style="33" customWidth="1"/>
    <col min="11" max="11" width="12.85546875" style="33" customWidth="1"/>
    <col min="12" max="19" width="8.85546875" style="33"/>
    <col min="20" max="20" width="8.42578125" style="33" customWidth="1"/>
    <col min="21" max="16384" width="8.85546875" style="33"/>
  </cols>
  <sheetData>
    <row r="1" spans="1:11" ht="27" x14ac:dyDescent="0.35">
      <c r="B1" s="56" t="s">
        <v>126</v>
      </c>
      <c r="C1" s="40"/>
      <c r="F1" s="34">
        <f>SUM(F4:F1048576)</f>
        <v>0</v>
      </c>
      <c r="G1" s="34">
        <f>SUM(G4:G1048576)</f>
        <v>0</v>
      </c>
      <c r="H1" s="57">
        <f>F1-G1</f>
        <v>0</v>
      </c>
      <c r="J1" s="33" t="s">
        <v>122</v>
      </c>
      <c r="K1" s="40" t="s">
        <v>169</v>
      </c>
    </row>
    <row r="3" spans="1:11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4" t="s">
        <v>24</v>
      </c>
      <c r="G3" s="34" t="s">
        <v>25</v>
      </c>
      <c r="H3" s="57" t="s">
        <v>6</v>
      </c>
    </row>
    <row r="5" spans="1:11" x14ac:dyDescent="0.25">
      <c r="A5" s="35"/>
    </row>
    <row r="6" spans="1:11" x14ac:dyDescent="0.25">
      <c r="A6" s="35"/>
    </row>
    <row r="7" spans="1:11" x14ac:dyDescent="0.25">
      <c r="A7" s="35"/>
    </row>
    <row r="8" spans="1:11" x14ac:dyDescent="0.25">
      <c r="A8" s="35"/>
    </row>
    <row r="9" spans="1:11" x14ac:dyDescent="0.25">
      <c r="A9" s="35"/>
    </row>
    <row r="10" spans="1:11" x14ac:dyDescent="0.25">
      <c r="A10" s="35"/>
    </row>
    <row r="11" spans="1:11" x14ac:dyDescent="0.25">
      <c r="A11" s="35"/>
    </row>
    <row r="12" spans="1:11" x14ac:dyDescent="0.25">
      <c r="A12" s="35"/>
    </row>
    <row r="13" spans="1:11" ht="19.5" customHeight="1" x14ac:dyDescent="0.25">
      <c r="A13" s="35"/>
    </row>
    <row r="14" spans="1:11" x14ac:dyDescent="0.25">
      <c r="A14" s="35"/>
    </row>
    <row r="15" spans="1:11" x14ac:dyDescent="0.25">
      <c r="A15" s="35"/>
    </row>
    <row r="16" spans="1:11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  <c r="I21" s="33" t="s">
        <v>197</v>
      </c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9" x14ac:dyDescent="0.25">
      <c r="A33" s="35"/>
    </row>
    <row r="34" spans="1:9" ht="19.899999999999999" customHeight="1" x14ac:dyDescent="0.25">
      <c r="A34" s="35"/>
    </row>
    <row r="35" spans="1:9" x14ac:dyDescent="0.25">
      <c r="A35" s="35"/>
    </row>
    <row r="36" spans="1:9" x14ac:dyDescent="0.25">
      <c r="A36" s="35"/>
    </row>
    <row r="37" spans="1:9" x14ac:dyDescent="0.25">
      <c r="A37" s="35"/>
      <c r="I37" s="33" t="s">
        <v>197</v>
      </c>
    </row>
    <row r="38" spans="1:9" x14ac:dyDescent="0.25">
      <c r="A38" s="35"/>
    </row>
    <row r="39" spans="1:9" x14ac:dyDescent="0.25">
      <c r="A39" s="35"/>
    </row>
    <row r="40" spans="1:9" x14ac:dyDescent="0.25">
      <c r="A40" s="35"/>
    </row>
    <row r="41" spans="1:9" x14ac:dyDescent="0.25">
      <c r="A41" s="35"/>
    </row>
    <row r="42" spans="1:9" x14ac:dyDescent="0.25">
      <c r="A42" s="35"/>
    </row>
    <row r="43" spans="1:9" x14ac:dyDescent="0.25">
      <c r="A43" s="35"/>
    </row>
    <row r="44" spans="1:9" x14ac:dyDescent="0.25">
      <c r="A44" s="35"/>
    </row>
    <row r="45" spans="1:9" x14ac:dyDescent="0.25">
      <c r="A45" s="35"/>
    </row>
    <row r="46" spans="1:9" x14ac:dyDescent="0.25">
      <c r="A46" s="35"/>
    </row>
    <row r="47" spans="1:9" x14ac:dyDescent="0.25">
      <c r="A47" s="35"/>
    </row>
    <row r="48" spans="1:9" x14ac:dyDescent="0.25">
      <c r="A48" s="35"/>
    </row>
    <row r="49" spans="1:9" x14ac:dyDescent="0.25">
      <c r="A49" s="35"/>
    </row>
    <row r="50" spans="1:9" x14ac:dyDescent="0.25">
      <c r="A50" s="35"/>
    </row>
    <row r="51" spans="1:9" x14ac:dyDescent="0.25">
      <c r="A51" s="35"/>
    </row>
    <row r="52" spans="1:9" x14ac:dyDescent="0.25">
      <c r="A52" s="35"/>
      <c r="I52" s="33" t="s">
        <v>197</v>
      </c>
    </row>
    <row r="53" spans="1:9" x14ac:dyDescent="0.25">
      <c r="A53" s="35"/>
    </row>
    <row r="54" spans="1:9" x14ac:dyDescent="0.25">
      <c r="A54" s="35"/>
    </row>
    <row r="55" spans="1:9" x14ac:dyDescent="0.25">
      <c r="A55" s="35"/>
    </row>
    <row r="56" spans="1:9" x14ac:dyDescent="0.25">
      <c r="A56" s="35"/>
    </row>
    <row r="57" spans="1:9" x14ac:dyDescent="0.25">
      <c r="A57" s="35"/>
    </row>
    <row r="58" spans="1:9" x14ac:dyDescent="0.25">
      <c r="A58" s="35"/>
    </row>
    <row r="59" spans="1:9" x14ac:dyDescent="0.25">
      <c r="A59" s="35"/>
    </row>
    <row r="60" spans="1:9" x14ac:dyDescent="0.25">
      <c r="A60" s="35"/>
      <c r="I60" s="33" t="s">
        <v>197</v>
      </c>
    </row>
    <row r="61" spans="1:9" x14ac:dyDescent="0.25">
      <c r="A61" s="35"/>
    </row>
    <row r="62" spans="1:9" x14ac:dyDescent="0.25">
      <c r="A62" s="35"/>
    </row>
    <row r="63" spans="1:9" x14ac:dyDescent="0.25">
      <c r="A63" s="35"/>
    </row>
    <row r="64" spans="1:9" x14ac:dyDescent="0.25">
      <c r="A64" s="35"/>
    </row>
    <row r="65" spans="1:9" x14ac:dyDescent="0.25">
      <c r="A65" s="35"/>
      <c r="I65" s="33" t="s">
        <v>197</v>
      </c>
    </row>
    <row r="66" spans="1:9" x14ac:dyDescent="0.25">
      <c r="A66" s="35"/>
    </row>
    <row r="67" spans="1:9" x14ac:dyDescent="0.25">
      <c r="A67" s="35"/>
    </row>
    <row r="68" spans="1:9" x14ac:dyDescent="0.25">
      <c r="A68" s="35"/>
    </row>
    <row r="69" spans="1:9" x14ac:dyDescent="0.25">
      <c r="A69" s="35"/>
    </row>
    <row r="70" spans="1:9" x14ac:dyDescent="0.25">
      <c r="A70" s="35"/>
    </row>
    <row r="71" spans="1:9" x14ac:dyDescent="0.25">
      <c r="A71" s="35"/>
    </row>
    <row r="72" spans="1:9" x14ac:dyDescent="0.25">
      <c r="A72" s="35"/>
    </row>
    <row r="73" spans="1:9" x14ac:dyDescent="0.25">
      <c r="A73" s="35"/>
    </row>
    <row r="74" spans="1:9" x14ac:dyDescent="0.25">
      <c r="A74" s="35"/>
      <c r="I74" s="33" t="s">
        <v>197</v>
      </c>
    </row>
    <row r="75" spans="1:9" x14ac:dyDescent="0.25">
      <c r="A75" s="35"/>
    </row>
    <row r="76" spans="1:9" x14ac:dyDescent="0.25">
      <c r="A76" s="35"/>
    </row>
    <row r="77" spans="1:9" x14ac:dyDescent="0.25">
      <c r="A77" s="35"/>
    </row>
    <row r="78" spans="1:9" x14ac:dyDescent="0.25">
      <c r="A78" s="35"/>
    </row>
    <row r="79" spans="1:9" x14ac:dyDescent="0.25">
      <c r="A79" s="35"/>
    </row>
    <row r="80" spans="1:9" x14ac:dyDescent="0.25">
      <c r="A80" s="35"/>
      <c r="E80" s="58"/>
      <c r="F80" s="33"/>
    </row>
    <row r="81" spans="1:9" x14ac:dyDescent="0.25">
      <c r="A81" s="35"/>
      <c r="F81" s="33"/>
    </row>
    <row r="82" spans="1:9" x14ac:dyDescent="0.25">
      <c r="A82" s="35"/>
      <c r="F82" s="33"/>
    </row>
    <row r="83" spans="1:9" x14ac:dyDescent="0.25">
      <c r="A83" s="35"/>
      <c r="I83" s="33" t="s">
        <v>197</v>
      </c>
    </row>
    <row r="84" spans="1:9" x14ac:dyDescent="0.25">
      <c r="A84" s="35"/>
    </row>
    <row r="85" spans="1:9" x14ac:dyDescent="0.25">
      <c r="A85" s="35"/>
    </row>
    <row r="86" spans="1:9" x14ac:dyDescent="0.25">
      <c r="A86" s="35"/>
    </row>
    <row r="87" spans="1:9" x14ac:dyDescent="0.25">
      <c r="A87" s="35"/>
    </row>
    <row r="88" spans="1:9" x14ac:dyDescent="0.25">
      <c r="A88" s="35"/>
    </row>
    <row r="89" spans="1:9" x14ac:dyDescent="0.25">
      <c r="A89" s="35"/>
    </row>
    <row r="90" spans="1:9" x14ac:dyDescent="0.25">
      <c r="A90" s="35"/>
      <c r="I90" s="33" t="s">
        <v>197</v>
      </c>
    </row>
    <row r="91" spans="1:9" x14ac:dyDescent="0.25">
      <c r="A91" s="35"/>
    </row>
    <row r="92" spans="1:9" x14ac:dyDescent="0.25">
      <c r="A92" s="35"/>
    </row>
    <row r="93" spans="1:9" x14ac:dyDescent="0.25">
      <c r="A93" s="35"/>
    </row>
    <row r="94" spans="1:9" x14ac:dyDescent="0.25">
      <c r="A94" s="35"/>
    </row>
    <row r="95" spans="1:9" x14ac:dyDescent="0.25">
      <c r="A95" s="35"/>
    </row>
    <row r="96" spans="1:9" x14ac:dyDescent="0.25">
      <c r="A96" s="35"/>
    </row>
    <row r="97" spans="1:9" x14ac:dyDescent="0.25">
      <c r="A97" s="35"/>
    </row>
    <row r="98" spans="1:9" x14ac:dyDescent="0.25">
      <c r="A98" s="35"/>
      <c r="I98" s="33" t="s">
        <v>197</v>
      </c>
    </row>
    <row r="99" spans="1:9" x14ac:dyDescent="0.25">
      <c r="A99" s="35"/>
    </row>
    <row r="100" spans="1:9" x14ac:dyDescent="0.25">
      <c r="A100" s="35"/>
    </row>
    <row r="101" spans="1:9" x14ac:dyDescent="0.25">
      <c r="A101" s="35"/>
    </row>
    <row r="102" spans="1:9" x14ac:dyDescent="0.25">
      <c r="A102" s="35"/>
    </row>
    <row r="103" spans="1:9" x14ac:dyDescent="0.25">
      <c r="A103" s="35"/>
    </row>
    <row r="104" spans="1:9" x14ac:dyDescent="0.25">
      <c r="A104" s="35"/>
      <c r="I104" s="33" t="s">
        <v>197</v>
      </c>
    </row>
    <row r="105" spans="1:9" x14ac:dyDescent="0.25">
      <c r="A105" s="35"/>
    </row>
    <row r="106" spans="1:9" x14ac:dyDescent="0.25">
      <c r="A106" s="35"/>
    </row>
    <row r="107" spans="1:9" x14ac:dyDescent="0.25">
      <c r="A107" s="35"/>
    </row>
    <row r="108" spans="1:9" x14ac:dyDescent="0.25">
      <c r="A108" s="35"/>
    </row>
    <row r="109" spans="1:9" x14ac:dyDescent="0.25">
      <c r="A109" s="35"/>
    </row>
    <row r="110" spans="1:9" x14ac:dyDescent="0.25">
      <c r="A110" s="35"/>
    </row>
    <row r="111" spans="1:9" x14ac:dyDescent="0.25">
      <c r="A111" s="35"/>
    </row>
    <row r="112" spans="1:9" x14ac:dyDescent="0.25">
      <c r="A112" s="35"/>
    </row>
    <row r="113" spans="1:9" x14ac:dyDescent="0.25">
      <c r="A113" s="35"/>
    </row>
    <row r="114" spans="1:9" x14ac:dyDescent="0.25">
      <c r="A114" s="35"/>
    </row>
    <row r="115" spans="1:9" x14ac:dyDescent="0.25">
      <c r="A115" s="35"/>
    </row>
    <row r="116" spans="1:9" x14ac:dyDescent="0.25">
      <c r="A116" s="35"/>
    </row>
    <row r="117" spans="1:9" x14ac:dyDescent="0.25">
      <c r="A117" s="35"/>
    </row>
    <row r="118" spans="1:9" x14ac:dyDescent="0.25">
      <c r="A118" s="35"/>
    </row>
    <row r="119" spans="1:9" x14ac:dyDescent="0.25">
      <c r="A119" s="35"/>
    </row>
    <row r="120" spans="1:9" x14ac:dyDescent="0.25">
      <c r="A120" s="35"/>
    </row>
    <row r="121" spans="1:9" x14ac:dyDescent="0.25">
      <c r="A121" s="35"/>
    </row>
    <row r="122" spans="1:9" x14ac:dyDescent="0.25">
      <c r="A122" s="35"/>
      <c r="I122" s="33" t="s">
        <v>197</v>
      </c>
    </row>
    <row r="123" spans="1:9" x14ac:dyDescent="0.25">
      <c r="A123" s="35"/>
    </row>
    <row r="124" spans="1:9" x14ac:dyDescent="0.25">
      <c r="A124" s="35"/>
    </row>
    <row r="125" spans="1:9" x14ac:dyDescent="0.25">
      <c r="A125" s="35"/>
    </row>
    <row r="126" spans="1:9" x14ac:dyDescent="0.25">
      <c r="A126" s="35"/>
    </row>
    <row r="127" spans="1:9" x14ac:dyDescent="0.25">
      <c r="A127" s="35"/>
    </row>
    <row r="128" spans="1:9" x14ac:dyDescent="0.25">
      <c r="A128" s="35"/>
    </row>
    <row r="129" spans="1:9" x14ac:dyDescent="0.25">
      <c r="A129" s="35"/>
    </row>
    <row r="130" spans="1:9" x14ac:dyDescent="0.25">
      <c r="A130" s="35"/>
    </row>
    <row r="131" spans="1:9" x14ac:dyDescent="0.25">
      <c r="A131" s="35"/>
    </row>
    <row r="132" spans="1:9" x14ac:dyDescent="0.25">
      <c r="A132" s="35"/>
    </row>
    <row r="133" spans="1:9" x14ac:dyDescent="0.25">
      <c r="A133" s="35"/>
    </row>
    <row r="134" spans="1:9" x14ac:dyDescent="0.25">
      <c r="A134" s="35"/>
    </row>
    <row r="135" spans="1:9" x14ac:dyDescent="0.25">
      <c r="A135" s="35"/>
    </row>
    <row r="136" spans="1:9" x14ac:dyDescent="0.25">
      <c r="A136" s="35"/>
    </row>
    <row r="137" spans="1:9" x14ac:dyDescent="0.25">
      <c r="A137" s="35"/>
    </row>
    <row r="138" spans="1:9" x14ac:dyDescent="0.25">
      <c r="A138" s="35"/>
    </row>
    <row r="139" spans="1:9" x14ac:dyDescent="0.25">
      <c r="A139" s="35"/>
    </row>
    <row r="140" spans="1:9" x14ac:dyDescent="0.25">
      <c r="A140" s="35"/>
      <c r="I140" s="33" t="s">
        <v>197</v>
      </c>
    </row>
    <row r="141" spans="1:9" x14ac:dyDescent="0.25">
      <c r="A141" s="35"/>
    </row>
    <row r="142" spans="1:9" x14ac:dyDescent="0.25">
      <c r="A142" s="35"/>
    </row>
    <row r="143" spans="1:9" x14ac:dyDescent="0.25">
      <c r="A143" s="35"/>
    </row>
    <row r="144" spans="1:9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9" x14ac:dyDescent="0.25">
      <c r="A161" s="35"/>
    </row>
    <row r="162" spans="1:9" x14ac:dyDescent="0.25">
      <c r="A162" s="35"/>
    </row>
    <row r="163" spans="1:9" x14ac:dyDescent="0.25">
      <c r="A163" s="35"/>
    </row>
    <row r="164" spans="1:9" x14ac:dyDescent="0.25">
      <c r="A164" s="35"/>
    </row>
    <row r="165" spans="1:9" x14ac:dyDescent="0.25">
      <c r="A165" s="35"/>
    </row>
    <row r="166" spans="1:9" x14ac:dyDescent="0.25">
      <c r="A166" s="35"/>
    </row>
    <row r="167" spans="1:9" x14ac:dyDescent="0.25">
      <c r="A167" s="35"/>
    </row>
    <row r="168" spans="1:9" x14ac:dyDescent="0.25">
      <c r="A168" s="35"/>
    </row>
    <row r="169" spans="1:9" x14ac:dyDescent="0.25">
      <c r="A169" s="35"/>
    </row>
    <row r="170" spans="1:9" x14ac:dyDescent="0.25">
      <c r="A170" s="35"/>
    </row>
    <row r="171" spans="1:9" x14ac:dyDescent="0.25">
      <c r="A171" s="35"/>
    </row>
    <row r="172" spans="1:9" x14ac:dyDescent="0.25">
      <c r="A172" s="35"/>
    </row>
    <row r="173" spans="1:9" x14ac:dyDescent="0.25">
      <c r="A173" s="35"/>
      <c r="I173" s="33" t="s">
        <v>197</v>
      </c>
    </row>
    <row r="174" spans="1:9" x14ac:dyDescent="0.25">
      <c r="A174" s="35"/>
    </row>
    <row r="175" spans="1:9" x14ac:dyDescent="0.25">
      <c r="A175" s="35"/>
    </row>
    <row r="176" spans="1:9" x14ac:dyDescent="0.25">
      <c r="A176" s="35"/>
    </row>
    <row r="177" spans="1:9" x14ac:dyDescent="0.25">
      <c r="A177" s="35"/>
    </row>
    <row r="178" spans="1:9" x14ac:dyDescent="0.25">
      <c r="A178" s="35"/>
    </row>
    <row r="179" spans="1:9" x14ac:dyDescent="0.25">
      <c r="A179" s="35"/>
      <c r="I179" s="33" t="s">
        <v>197</v>
      </c>
    </row>
    <row r="180" spans="1:9" x14ac:dyDescent="0.25">
      <c r="A180" s="35"/>
    </row>
    <row r="181" spans="1:9" x14ac:dyDescent="0.25">
      <c r="A181" s="35"/>
    </row>
    <row r="182" spans="1:9" x14ac:dyDescent="0.25">
      <c r="A182" s="35"/>
    </row>
    <row r="183" spans="1:9" x14ac:dyDescent="0.25">
      <c r="A183" s="35"/>
    </row>
    <row r="184" spans="1:9" x14ac:dyDescent="0.25">
      <c r="A184" s="35"/>
    </row>
    <row r="185" spans="1:9" x14ac:dyDescent="0.25">
      <c r="A185" s="35"/>
    </row>
    <row r="186" spans="1:9" x14ac:dyDescent="0.25">
      <c r="A186" s="35"/>
      <c r="I186" s="33" t="s">
        <v>197</v>
      </c>
    </row>
    <row r="187" spans="1:9" x14ac:dyDescent="0.25">
      <c r="A187" s="35"/>
    </row>
    <row r="188" spans="1:9" x14ac:dyDescent="0.25">
      <c r="A188" s="35"/>
    </row>
    <row r="189" spans="1:9" x14ac:dyDescent="0.25">
      <c r="A189" s="35"/>
    </row>
    <row r="190" spans="1:9" x14ac:dyDescent="0.25">
      <c r="A190" s="35"/>
    </row>
    <row r="191" spans="1:9" x14ac:dyDescent="0.25">
      <c r="A191" s="35"/>
    </row>
    <row r="192" spans="1:9" x14ac:dyDescent="0.25">
      <c r="A192" s="35"/>
    </row>
    <row r="193" spans="1:9" x14ac:dyDescent="0.25">
      <c r="A193" s="35"/>
    </row>
    <row r="194" spans="1:9" x14ac:dyDescent="0.25">
      <c r="A194" s="35"/>
    </row>
    <row r="195" spans="1:9" x14ac:dyDescent="0.25">
      <c r="A195" s="35"/>
    </row>
    <row r="196" spans="1:9" x14ac:dyDescent="0.25">
      <c r="A196" s="35"/>
    </row>
    <row r="197" spans="1:9" x14ac:dyDescent="0.25">
      <c r="A197" s="35"/>
    </row>
    <row r="198" spans="1:9" x14ac:dyDescent="0.25">
      <c r="A198" s="35"/>
    </row>
    <row r="199" spans="1:9" x14ac:dyDescent="0.25">
      <c r="A199" s="35"/>
    </row>
    <row r="200" spans="1:9" x14ac:dyDescent="0.25">
      <c r="A200" s="35"/>
      <c r="I200" s="33" t="s">
        <v>197</v>
      </c>
    </row>
    <row r="201" spans="1:9" x14ac:dyDescent="0.25">
      <c r="A201" s="35"/>
    </row>
    <row r="202" spans="1:9" x14ac:dyDescent="0.25">
      <c r="A202" s="35"/>
    </row>
    <row r="203" spans="1:9" x14ac:dyDescent="0.25">
      <c r="A203" s="35"/>
    </row>
    <row r="204" spans="1:9" x14ac:dyDescent="0.25">
      <c r="A204" s="35"/>
    </row>
    <row r="205" spans="1:9" x14ac:dyDescent="0.25">
      <c r="A205" s="35"/>
    </row>
    <row r="206" spans="1:9" x14ac:dyDescent="0.25">
      <c r="A206" s="35"/>
    </row>
    <row r="207" spans="1:9" x14ac:dyDescent="0.25">
      <c r="A207" s="35"/>
    </row>
    <row r="208" spans="1:9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5" x14ac:dyDescent="0.25">
      <c r="A273" s="35"/>
    </row>
    <row r="274" spans="1:15" x14ac:dyDescent="0.25">
      <c r="A274" s="35"/>
    </row>
    <row r="275" spans="1:15" x14ac:dyDescent="0.25">
      <c r="A275" s="35"/>
    </row>
    <row r="276" spans="1:15" x14ac:dyDescent="0.25">
      <c r="A276" s="35"/>
    </row>
    <row r="277" spans="1:15" x14ac:dyDescent="0.25">
      <c r="A277" s="35"/>
    </row>
    <row r="278" spans="1:15" x14ac:dyDescent="0.25">
      <c r="A278" s="35"/>
    </row>
    <row r="279" spans="1:15" x14ac:dyDescent="0.25">
      <c r="A279" s="35"/>
    </row>
    <row r="280" spans="1:15" x14ac:dyDescent="0.25">
      <c r="A280" s="35"/>
    </row>
    <row r="281" spans="1:15" x14ac:dyDescent="0.25">
      <c r="A281" s="35"/>
    </row>
    <row r="282" spans="1:15" x14ac:dyDescent="0.25">
      <c r="A282" s="35"/>
    </row>
    <row r="283" spans="1:15" x14ac:dyDescent="0.25">
      <c r="A283" s="35"/>
      <c r="M283" s="40"/>
      <c r="N283" s="40"/>
      <c r="O283" s="40"/>
    </row>
    <row r="284" spans="1:15" x14ac:dyDescent="0.25">
      <c r="A284" s="35"/>
    </row>
    <row r="285" spans="1:15" x14ac:dyDescent="0.25">
      <c r="A285" s="35"/>
    </row>
    <row r="286" spans="1:15" x14ac:dyDescent="0.25">
      <c r="A286" s="35"/>
    </row>
    <row r="287" spans="1:15" x14ac:dyDescent="0.25">
      <c r="A287" s="35"/>
    </row>
    <row r="288" spans="1:15" x14ac:dyDescent="0.25">
      <c r="A288" s="35"/>
      <c r="I288" s="33" t="s">
        <v>197</v>
      </c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  <row r="367" spans="1:1" x14ac:dyDescent="0.25">
      <c r="A367" s="35"/>
    </row>
    <row r="368" spans="1:1" x14ac:dyDescent="0.25">
      <c r="A368" s="35"/>
    </row>
    <row r="369" spans="1:1" x14ac:dyDescent="0.25">
      <c r="A369" s="35"/>
    </row>
    <row r="370" spans="1:1" x14ac:dyDescent="0.25">
      <c r="A370" s="35"/>
    </row>
    <row r="371" spans="1:1" x14ac:dyDescent="0.25">
      <c r="A371" s="35"/>
    </row>
    <row r="372" spans="1:1" x14ac:dyDescent="0.25">
      <c r="A372" s="35"/>
    </row>
    <row r="373" spans="1:1" x14ac:dyDescent="0.25">
      <c r="A373" s="35"/>
    </row>
    <row r="374" spans="1:1" x14ac:dyDescent="0.25">
      <c r="A374" s="35"/>
    </row>
    <row r="375" spans="1:1" x14ac:dyDescent="0.25">
      <c r="A375" s="35"/>
    </row>
    <row r="376" spans="1:1" x14ac:dyDescent="0.25">
      <c r="A376" s="35"/>
    </row>
    <row r="377" spans="1:1" x14ac:dyDescent="0.25">
      <c r="A377" s="35"/>
    </row>
    <row r="378" spans="1:1" x14ac:dyDescent="0.25">
      <c r="A378" s="35"/>
    </row>
    <row r="379" spans="1:1" x14ac:dyDescent="0.25">
      <c r="A379" s="35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6" x14ac:dyDescent="0.25">
      <c r="A385" s="35"/>
    </row>
    <row r="386" spans="1:16" x14ac:dyDescent="0.25">
      <c r="A386" s="35"/>
    </row>
    <row r="387" spans="1:16" x14ac:dyDescent="0.25">
      <c r="A387" s="35"/>
      <c r="N387" s="40"/>
      <c r="O387" s="40"/>
      <c r="P387" s="40"/>
    </row>
    <row r="388" spans="1:16" x14ac:dyDescent="0.25">
      <c r="A388" s="35"/>
    </row>
    <row r="389" spans="1:16" x14ac:dyDescent="0.25">
      <c r="A389" s="35"/>
    </row>
    <row r="390" spans="1:16" x14ac:dyDescent="0.25">
      <c r="A390" s="35"/>
    </row>
    <row r="391" spans="1:16" x14ac:dyDescent="0.25">
      <c r="A391" s="35"/>
    </row>
    <row r="392" spans="1:16" x14ac:dyDescent="0.25">
      <c r="A392" s="35"/>
    </row>
    <row r="393" spans="1:16" x14ac:dyDescent="0.25">
      <c r="A393" s="35"/>
    </row>
    <row r="394" spans="1:16" x14ac:dyDescent="0.25">
      <c r="A394" s="35"/>
    </row>
    <row r="395" spans="1:16" x14ac:dyDescent="0.25">
      <c r="A395" s="35"/>
    </row>
    <row r="396" spans="1:16" x14ac:dyDescent="0.25">
      <c r="A396" s="35"/>
    </row>
    <row r="397" spans="1:16" x14ac:dyDescent="0.25">
      <c r="A397" s="35"/>
    </row>
    <row r="398" spans="1:16" x14ac:dyDescent="0.25">
      <c r="A398" s="35"/>
    </row>
    <row r="399" spans="1:16" x14ac:dyDescent="0.25">
      <c r="A399" s="35"/>
    </row>
    <row r="400" spans="1:16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5" x14ac:dyDescent="0.25">
      <c r="A465" s="35"/>
      <c r="M465" s="36"/>
      <c r="N465" s="36"/>
      <c r="O465" s="36"/>
    </row>
    <row r="466" spans="1:15" x14ac:dyDescent="0.25">
      <c r="A466" s="35"/>
    </row>
    <row r="467" spans="1:15" x14ac:dyDescent="0.25">
      <c r="A467" s="35"/>
    </row>
    <row r="468" spans="1:15" x14ac:dyDescent="0.25">
      <c r="A468" s="35"/>
    </row>
    <row r="469" spans="1:15" x14ac:dyDescent="0.25">
      <c r="A469" s="35"/>
    </row>
    <row r="470" spans="1:15" x14ac:dyDescent="0.25">
      <c r="A470" s="35"/>
    </row>
    <row r="471" spans="1:15" x14ac:dyDescent="0.25">
      <c r="A471" s="35"/>
    </row>
    <row r="472" spans="1:15" x14ac:dyDescent="0.25">
      <c r="A472" s="35"/>
    </row>
    <row r="473" spans="1:15" x14ac:dyDescent="0.25">
      <c r="A473" s="35"/>
    </row>
    <row r="474" spans="1:15" x14ac:dyDescent="0.25">
      <c r="A474" s="35"/>
    </row>
    <row r="475" spans="1:15" x14ac:dyDescent="0.25">
      <c r="A475" s="35"/>
    </row>
    <row r="476" spans="1:15" x14ac:dyDescent="0.25">
      <c r="A476" s="35"/>
    </row>
    <row r="477" spans="1:15" x14ac:dyDescent="0.25">
      <c r="A477" s="35"/>
    </row>
    <row r="478" spans="1:15" x14ac:dyDescent="0.25">
      <c r="A478" s="35"/>
    </row>
    <row r="479" spans="1:15" x14ac:dyDescent="0.25">
      <c r="A479" s="35"/>
    </row>
    <row r="480" spans="1:15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5" x14ac:dyDescent="0.25">
      <c r="A545" s="35"/>
    </row>
    <row r="546" spans="1:15" x14ac:dyDescent="0.25">
      <c r="A546" s="35"/>
    </row>
    <row r="547" spans="1:15" x14ac:dyDescent="0.25">
      <c r="A547" s="35"/>
    </row>
    <row r="548" spans="1:15" x14ac:dyDescent="0.25">
      <c r="A548" s="35"/>
    </row>
    <row r="549" spans="1:15" x14ac:dyDescent="0.25">
      <c r="A549" s="35"/>
    </row>
    <row r="550" spans="1:15" x14ac:dyDescent="0.25">
      <c r="A550" s="35"/>
    </row>
    <row r="551" spans="1:15" x14ac:dyDescent="0.25">
      <c r="A551" s="35"/>
      <c r="M551" s="40"/>
      <c r="N551" s="40"/>
      <c r="O551" s="40"/>
    </row>
    <row r="552" spans="1:15" x14ac:dyDescent="0.25">
      <c r="A552" s="35"/>
      <c r="M552" s="40"/>
      <c r="N552" s="40"/>
      <c r="O552" s="40"/>
    </row>
    <row r="553" spans="1:15" x14ac:dyDescent="0.25">
      <c r="A553" s="35"/>
      <c r="M553" s="40"/>
      <c r="N553" s="40"/>
      <c r="O553" s="40"/>
    </row>
    <row r="554" spans="1:15" x14ac:dyDescent="0.25">
      <c r="A554" s="35"/>
      <c r="M554" s="40"/>
      <c r="N554" s="40"/>
      <c r="O554" s="40"/>
    </row>
    <row r="555" spans="1:15" x14ac:dyDescent="0.25">
      <c r="A555" s="35"/>
      <c r="M555" s="40"/>
      <c r="N555" s="40"/>
      <c r="O555" s="40"/>
    </row>
    <row r="556" spans="1:15" x14ac:dyDescent="0.25">
      <c r="A556" s="35"/>
    </row>
    <row r="557" spans="1:15" x14ac:dyDescent="0.25">
      <c r="A557" s="35"/>
    </row>
    <row r="558" spans="1:15" x14ac:dyDescent="0.25">
      <c r="A558" s="35"/>
    </row>
    <row r="559" spans="1:15" x14ac:dyDescent="0.25">
      <c r="A559" s="35"/>
    </row>
    <row r="560" spans="1:15" x14ac:dyDescent="0.25">
      <c r="A560" s="35"/>
    </row>
    <row r="561" spans="1:13" x14ac:dyDescent="0.25">
      <c r="A561" s="35"/>
    </row>
    <row r="562" spans="1:13" x14ac:dyDescent="0.25">
      <c r="A562" s="35"/>
      <c r="L562" s="40"/>
      <c r="M562" s="40"/>
    </row>
    <row r="563" spans="1:13" x14ac:dyDescent="0.25">
      <c r="A563" s="35"/>
    </row>
    <row r="564" spans="1:13" x14ac:dyDescent="0.25">
      <c r="A564" s="35"/>
    </row>
    <row r="565" spans="1:13" x14ac:dyDescent="0.25">
      <c r="A565" s="35"/>
    </row>
    <row r="566" spans="1:13" x14ac:dyDescent="0.25">
      <c r="A566" s="35"/>
    </row>
    <row r="567" spans="1:13" x14ac:dyDescent="0.25">
      <c r="A567" s="35"/>
    </row>
    <row r="568" spans="1:13" x14ac:dyDescent="0.25">
      <c r="A568" s="35"/>
    </row>
    <row r="569" spans="1:13" x14ac:dyDescent="0.25">
      <c r="A569" s="35"/>
    </row>
    <row r="570" spans="1:13" x14ac:dyDescent="0.25">
      <c r="A570" s="35"/>
    </row>
    <row r="571" spans="1:13" x14ac:dyDescent="0.25">
      <c r="A571" s="35"/>
    </row>
    <row r="572" spans="1:13" x14ac:dyDescent="0.25">
      <c r="A572" s="35"/>
      <c r="F572" s="33"/>
    </row>
    <row r="573" spans="1:13" x14ac:dyDescent="0.25">
      <c r="A573" s="35"/>
      <c r="F573" s="33"/>
    </row>
    <row r="574" spans="1:13" x14ac:dyDescent="0.25">
      <c r="A574" s="35"/>
      <c r="F574" s="33"/>
    </row>
    <row r="575" spans="1:13" x14ac:dyDescent="0.25">
      <c r="A575" s="35"/>
      <c r="F575" s="33"/>
    </row>
    <row r="576" spans="1:13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  <row r="596" spans="1:1" x14ac:dyDescent="0.25">
      <c r="A596" s="35"/>
    </row>
    <row r="597" spans="1:1" x14ac:dyDescent="0.25">
      <c r="A597" s="35"/>
    </row>
    <row r="598" spans="1:1" x14ac:dyDescent="0.25">
      <c r="A598" s="35"/>
    </row>
    <row r="599" spans="1:1" x14ac:dyDescent="0.25">
      <c r="A599" s="35"/>
    </row>
    <row r="600" spans="1:1" x14ac:dyDescent="0.25">
      <c r="A600" s="35"/>
    </row>
    <row r="601" spans="1:1" x14ac:dyDescent="0.25">
      <c r="A601" s="35"/>
    </row>
    <row r="602" spans="1:1" x14ac:dyDescent="0.25">
      <c r="A602" s="35"/>
    </row>
    <row r="603" spans="1:1" x14ac:dyDescent="0.25">
      <c r="A603" s="35"/>
    </row>
    <row r="604" spans="1:1" x14ac:dyDescent="0.25">
      <c r="A604" s="35"/>
    </row>
    <row r="605" spans="1:1" x14ac:dyDescent="0.25">
      <c r="A605" s="35"/>
    </row>
    <row r="606" spans="1:1" x14ac:dyDescent="0.25">
      <c r="A606" s="35"/>
    </row>
    <row r="607" spans="1:1" x14ac:dyDescent="0.25">
      <c r="A607" s="35"/>
    </row>
    <row r="608" spans="1:1" x14ac:dyDescent="0.25">
      <c r="A608" s="35"/>
    </row>
    <row r="609" spans="1:1" x14ac:dyDescent="0.25">
      <c r="A609" s="35"/>
    </row>
    <row r="610" spans="1:1" x14ac:dyDescent="0.25">
      <c r="A610" s="35"/>
    </row>
    <row r="611" spans="1:1" x14ac:dyDescent="0.25">
      <c r="A611" s="35"/>
    </row>
    <row r="612" spans="1:1" x14ac:dyDescent="0.25">
      <c r="A612" s="35"/>
    </row>
    <row r="613" spans="1:1" x14ac:dyDescent="0.25">
      <c r="A613" s="35"/>
    </row>
    <row r="614" spans="1:1" x14ac:dyDescent="0.25">
      <c r="A614" s="35"/>
    </row>
    <row r="615" spans="1:1" x14ac:dyDescent="0.25">
      <c r="A615" s="35"/>
    </row>
    <row r="616" spans="1:1" x14ac:dyDescent="0.25">
      <c r="A616" s="35"/>
    </row>
    <row r="617" spans="1:1" x14ac:dyDescent="0.25">
      <c r="A617" s="35"/>
    </row>
    <row r="618" spans="1:1" x14ac:dyDescent="0.25">
      <c r="A618" s="35"/>
    </row>
    <row r="619" spans="1:1" x14ac:dyDescent="0.25">
      <c r="A619" s="35"/>
    </row>
    <row r="620" spans="1:1" x14ac:dyDescent="0.25">
      <c r="A620" s="35"/>
    </row>
    <row r="621" spans="1:1" x14ac:dyDescent="0.25">
      <c r="A621" s="35"/>
    </row>
    <row r="622" spans="1:1" x14ac:dyDescent="0.25">
      <c r="A622" s="35"/>
    </row>
    <row r="623" spans="1:1" x14ac:dyDescent="0.25">
      <c r="A623" s="35"/>
    </row>
    <row r="624" spans="1:1" x14ac:dyDescent="0.25">
      <c r="A624" s="35"/>
    </row>
    <row r="625" spans="1:1" x14ac:dyDescent="0.25">
      <c r="A625" s="35"/>
    </row>
    <row r="626" spans="1:1" x14ac:dyDescent="0.25">
      <c r="A626" s="35"/>
    </row>
    <row r="627" spans="1:1" x14ac:dyDescent="0.25">
      <c r="A627" s="35"/>
    </row>
    <row r="628" spans="1:1" x14ac:dyDescent="0.25">
      <c r="A628" s="35"/>
    </row>
    <row r="629" spans="1:1" x14ac:dyDescent="0.25">
      <c r="A629" s="35"/>
    </row>
    <row r="630" spans="1:1" x14ac:dyDescent="0.25">
      <c r="A630" s="35"/>
    </row>
    <row r="631" spans="1:1" x14ac:dyDescent="0.25">
      <c r="A631" s="35"/>
    </row>
    <row r="632" spans="1:1" x14ac:dyDescent="0.25">
      <c r="A632" s="35"/>
    </row>
    <row r="633" spans="1:1" x14ac:dyDescent="0.25">
      <c r="A633" s="35"/>
    </row>
    <row r="634" spans="1:1" x14ac:dyDescent="0.25">
      <c r="A634" s="35"/>
    </row>
    <row r="635" spans="1:1" x14ac:dyDescent="0.25">
      <c r="A635" s="35"/>
    </row>
    <row r="636" spans="1:1" x14ac:dyDescent="0.25">
      <c r="A636" s="35"/>
    </row>
    <row r="637" spans="1:1" x14ac:dyDescent="0.25">
      <c r="A637" s="35"/>
    </row>
    <row r="638" spans="1:1" x14ac:dyDescent="0.25">
      <c r="A638" s="35"/>
    </row>
    <row r="639" spans="1:1" x14ac:dyDescent="0.25">
      <c r="A639" s="35"/>
    </row>
    <row r="640" spans="1:1" x14ac:dyDescent="0.25">
      <c r="A640" s="35"/>
    </row>
    <row r="641" spans="1:1" x14ac:dyDescent="0.25">
      <c r="A641" s="35"/>
    </row>
    <row r="642" spans="1:1" x14ac:dyDescent="0.25">
      <c r="A642" s="35"/>
    </row>
    <row r="643" spans="1:1" x14ac:dyDescent="0.25">
      <c r="A643" s="35"/>
    </row>
    <row r="644" spans="1:1" x14ac:dyDescent="0.25">
      <c r="A644" s="35"/>
    </row>
    <row r="645" spans="1:1" x14ac:dyDescent="0.25">
      <c r="A645" s="35"/>
    </row>
    <row r="646" spans="1:1" x14ac:dyDescent="0.25">
      <c r="A646" s="35"/>
    </row>
    <row r="647" spans="1:1" x14ac:dyDescent="0.25">
      <c r="A647" s="35"/>
    </row>
    <row r="648" spans="1:1" x14ac:dyDescent="0.25">
      <c r="A648" s="35"/>
    </row>
    <row r="649" spans="1:1" x14ac:dyDescent="0.25">
      <c r="A649" s="35"/>
    </row>
    <row r="650" spans="1:1" x14ac:dyDescent="0.25">
      <c r="A650" s="35"/>
    </row>
    <row r="651" spans="1:1" x14ac:dyDescent="0.25">
      <c r="A651" s="35"/>
    </row>
    <row r="652" spans="1:1" x14ac:dyDescent="0.25">
      <c r="A652" s="35"/>
    </row>
    <row r="653" spans="1:1" x14ac:dyDescent="0.25">
      <c r="A653" s="35"/>
    </row>
    <row r="654" spans="1:1" x14ac:dyDescent="0.25">
      <c r="A654" s="35"/>
    </row>
    <row r="655" spans="1:1" x14ac:dyDescent="0.25">
      <c r="A655" s="35"/>
    </row>
    <row r="656" spans="1:1" x14ac:dyDescent="0.25">
      <c r="A656" s="35"/>
    </row>
    <row r="657" spans="1:1" x14ac:dyDescent="0.25">
      <c r="A657" s="35"/>
    </row>
    <row r="658" spans="1:1" x14ac:dyDescent="0.25">
      <c r="A658" s="35"/>
    </row>
    <row r="659" spans="1:1" x14ac:dyDescent="0.25">
      <c r="A659" s="35"/>
    </row>
    <row r="660" spans="1:1" x14ac:dyDescent="0.25">
      <c r="A660" s="35"/>
    </row>
    <row r="661" spans="1:1" x14ac:dyDescent="0.25">
      <c r="A661" s="35"/>
    </row>
    <row r="662" spans="1:1" x14ac:dyDescent="0.25">
      <c r="A662" s="35"/>
    </row>
    <row r="663" spans="1:1" x14ac:dyDescent="0.25">
      <c r="A663" s="35"/>
    </row>
    <row r="664" spans="1:1" x14ac:dyDescent="0.25">
      <c r="A664" s="35"/>
    </row>
    <row r="665" spans="1:1" x14ac:dyDescent="0.25">
      <c r="A665" s="35"/>
    </row>
    <row r="666" spans="1:1" x14ac:dyDescent="0.25">
      <c r="A666" s="35"/>
    </row>
    <row r="667" spans="1:1" x14ac:dyDescent="0.25">
      <c r="A667" s="35"/>
    </row>
    <row r="668" spans="1:1" x14ac:dyDescent="0.25">
      <c r="A668" s="35"/>
    </row>
    <row r="669" spans="1:1" x14ac:dyDescent="0.25">
      <c r="A669" s="35"/>
    </row>
    <row r="670" spans="1:1" x14ac:dyDescent="0.25">
      <c r="A670" s="35"/>
    </row>
    <row r="671" spans="1:1" x14ac:dyDescent="0.25">
      <c r="A671" s="35"/>
    </row>
    <row r="672" spans="1:1" x14ac:dyDescent="0.25">
      <c r="A672" s="35"/>
    </row>
    <row r="673" spans="1:1" x14ac:dyDescent="0.25">
      <c r="A673" s="35"/>
    </row>
    <row r="674" spans="1:1" x14ac:dyDescent="0.25">
      <c r="A674" s="35"/>
    </row>
    <row r="675" spans="1:1" x14ac:dyDescent="0.25">
      <c r="A675" s="35"/>
    </row>
    <row r="676" spans="1:1" x14ac:dyDescent="0.25">
      <c r="A676" s="35"/>
    </row>
    <row r="677" spans="1:1" x14ac:dyDescent="0.25">
      <c r="A677" s="35"/>
    </row>
    <row r="678" spans="1:1" x14ac:dyDescent="0.25">
      <c r="A678" s="35"/>
    </row>
    <row r="679" spans="1:1" x14ac:dyDescent="0.25">
      <c r="A679" s="35"/>
    </row>
    <row r="680" spans="1:1" x14ac:dyDescent="0.25">
      <c r="A680" s="35"/>
    </row>
    <row r="681" spans="1:1" x14ac:dyDescent="0.25">
      <c r="A681" s="35"/>
    </row>
    <row r="682" spans="1:1" x14ac:dyDescent="0.25">
      <c r="A682" s="35"/>
    </row>
    <row r="683" spans="1:1" x14ac:dyDescent="0.25">
      <c r="A683" s="35"/>
    </row>
    <row r="684" spans="1:1" x14ac:dyDescent="0.25">
      <c r="A684" s="35"/>
    </row>
    <row r="685" spans="1:1" x14ac:dyDescent="0.25">
      <c r="A685" s="35"/>
    </row>
    <row r="686" spans="1:1" x14ac:dyDescent="0.25">
      <c r="A686" s="35"/>
    </row>
    <row r="687" spans="1:1" x14ac:dyDescent="0.25">
      <c r="A687" s="35"/>
    </row>
    <row r="688" spans="1:1" x14ac:dyDescent="0.25">
      <c r="A688" s="35"/>
    </row>
    <row r="689" spans="1:1" x14ac:dyDescent="0.25">
      <c r="A689" s="35"/>
    </row>
    <row r="690" spans="1:1" x14ac:dyDescent="0.25">
      <c r="A690" s="35"/>
    </row>
    <row r="691" spans="1:1" x14ac:dyDescent="0.25">
      <c r="A691" s="35"/>
    </row>
    <row r="692" spans="1:1" x14ac:dyDescent="0.25">
      <c r="A692" s="35"/>
    </row>
    <row r="693" spans="1:1" x14ac:dyDescent="0.25">
      <c r="A693" s="35"/>
    </row>
    <row r="694" spans="1:1" x14ac:dyDescent="0.25">
      <c r="A694" s="35"/>
    </row>
    <row r="695" spans="1:1" x14ac:dyDescent="0.25">
      <c r="A695" s="35"/>
    </row>
    <row r="696" spans="1:1" x14ac:dyDescent="0.25">
      <c r="A696" s="35"/>
    </row>
    <row r="697" spans="1:1" x14ac:dyDescent="0.25">
      <c r="A697" s="35"/>
    </row>
    <row r="698" spans="1:1" x14ac:dyDescent="0.25">
      <c r="A698" s="35"/>
    </row>
    <row r="699" spans="1:1" x14ac:dyDescent="0.25">
      <c r="A699" s="35"/>
    </row>
    <row r="700" spans="1:1" x14ac:dyDescent="0.25">
      <c r="A700" s="35"/>
    </row>
    <row r="701" spans="1:1" x14ac:dyDescent="0.25">
      <c r="A701" s="35"/>
    </row>
    <row r="702" spans="1:1" x14ac:dyDescent="0.25">
      <c r="A702" s="35"/>
    </row>
    <row r="703" spans="1:1" x14ac:dyDescent="0.25">
      <c r="A703" s="35"/>
    </row>
    <row r="704" spans="1:1" x14ac:dyDescent="0.25">
      <c r="A704" s="35"/>
    </row>
    <row r="705" spans="1:1" x14ac:dyDescent="0.25">
      <c r="A705" s="35"/>
    </row>
    <row r="706" spans="1:1" x14ac:dyDescent="0.25">
      <c r="A706" s="35"/>
    </row>
    <row r="707" spans="1:1" x14ac:dyDescent="0.25">
      <c r="A707" s="35"/>
    </row>
    <row r="708" spans="1:1" x14ac:dyDescent="0.25">
      <c r="A708" s="35"/>
    </row>
    <row r="709" spans="1:1" x14ac:dyDescent="0.25">
      <c r="A709" s="35"/>
    </row>
    <row r="710" spans="1:1" x14ac:dyDescent="0.25">
      <c r="A710" s="35"/>
    </row>
    <row r="711" spans="1:1" x14ac:dyDescent="0.25">
      <c r="A711" s="35"/>
    </row>
    <row r="712" spans="1:1" x14ac:dyDescent="0.25">
      <c r="A712" s="35"/>
    </row>
    <row r="713" spans="1:1" x14ac:dyDescent="0.25">
      <c r="A713" s="35"/>
    </row>
    <row r="714" spans="1:1" x14ac:dyDescent="0.25">
      <c r="A714" s="35"/>
    </row>
    <row r="715" spans="1:1" x14ac:dyDescent="0.25">
      <c r="A715" s="35"/>
    </row>
    <row r="716" spans="1:1" x14ac:dyDescent="0.25">
      <c r="A716" s="35"/>
    </row>
    <row r="717" spans="1:1" x14ac:dyDescent="0.25">
      <c r="A717" s="35"/>
    </row>
    <row r="718" spans="1:1" x14ac:dyDescent="0.25">
      <c r="A718" s="35"/>
    </row>
    <row r="719" spans="1:1" x14ac:dyDescent="0.25">
      <c r="A719" s="35"/>
    </row>
    <row r="720" spans="1:1" x14ac:dyDescent="0.25">
      <c r="A720" s="35"/>
    </row>
    <row r="721" spans="1:1" x14ac:dyDescent="0.25">
      <c r="A721" s="35"/>
    </row>
    <row r="722" spans="1:1" x14ac:dyDescent="0.25">
      <c r="A722" s="35"/>
    </row>
    <row r="723" spans="1:1" x14ac:dyDescent="0.25">
      <c r="A723" s="35"/>
    </row>
    <row r="724" spans="1:1" x14ac:dyDescent="0.25">
      <c r="A724" s="35"/>
    </row>
    <row r="725" spans="1:1" x14ac:dyDescent="0.25">
      <c r="A725" s="35"/>
    </row>
    <row r="726" spans="1:1" x14ac:dyDescent="0.25">
      <c r="A726" s="35"/>
    </row>
    <row r="727" spans="1:1" x14ac:dyDescent="0.25">
      <c r="A727" s="35"/>
    </row>
    <row r="728" spans="1:1" x14ac:dyDescent="0.25">
      <c r="A728" s="35"/>
    </row>
    <row r="729" spans="1:1" x14ac:dyDescent="0.25">
      <c r="A729" s="35"/>
    </row>
    <row r="730" spans="1:1" x14ac:dyDescent="0.25">
      <c r="A730" s="35"/>
    </row>
    <row r="731" spans="1:1" x14ac:dyDescent="0.25">
      <c r="A731" s="35"/>
    </row>
    <row r="732" spans="1:1" x14ac:dyDescent="0.25">
      <c r="A732" s="35"/>
    </row>
    <row r="733" spans="1:1" x14ac:dyDescent="0.25">
      <c r="A733" s="35"/>
    </row>
    <row r="734" spans="1:1" x14ac:dyDescent="0.25">
      <c r="A734" s="35"/>
    </row>
    <row r="735" spans="1:1" x14ac:dyDescent="0.25">
      <c r="A735" s="35"/>
    </row>
    <row r="736" spans="1:1" x14ac:dyDescent="0.25">
      <c r="A736" s="35"/>
    </row>
    <row r="737" spans="1:1" x14ac:dyDescent="0.25">
      <c r="A737" s="35"/>
    </row>
    <row r="738" spans="1:1" x14ac:dyDescent="0.25">
      <c r="A738" s="35"/>
    </row>
    <row r="739" spans="1:1" x14ac:dyDescent="0.25">
      <c r="A739" s="35"/>
    </row>
    <row r="740" spans="1:1" x14ac:dyDescent="0.25">
      <c r="A740" s="35"/>
    </row>
    <row r="741" spans="1:1" x14ac:dyDescent="0.25">
      <c r="A741" s="35"/>
    </row>
    <row r="742" spans="1:1" x14ac:dyDescent="0.25">
      <c r="A742" s="35"/>
    </row>
    <row r="743" spans="1:1" x14ac:dyDescent="0.25">
      <c r="A743" s="35"/>
    </row>
    <row r="744" spans="1:1" x14ac:dyDescent="0.25">
      <c r="A744" s="35"/>
    </row>
    <row r="745" spans="1:1" x14ac:dyDescent="0.25">
      <c r="A745" s="35"/>
    </row>
    <row r="746" spans="1:1" x14ac:dyDescent="0.25">
      <c r="A746" s="35"/>
    </row>
    <row r="747" spans="1:1" x14ac:dyDescent="0.25">
      <c r="A747" s="35"/>
    </row>
    <row r="748" spans="1:1" x14ac:dyDescent="0.25">
      <c r="A748" s="35"/>
    </row>
    <row r="749" spans="1:1" x14ac:dyDescent="0.25">
      <c r="A749" s="35"/>
    </row>
    <row r="750" spans="1:1" x14ac:dyDescent="0.25">
      <c r="A750" s="35"/>
    </row>
    <row r="751" spans="1:1" x14ac:dyDescent="0.25">
      <c r="A751" s="35"/>
    </row>
    <row r="752" spans="1:1" x14ac:dyDescent="0.25">
      <c r="A752" s="35"/>
    </row>
    <row r="753" spans="1:1" x14ac:dyDescent="0.25">
      <c r="A753" s="35"/>
    </row>
    <row r="754" spans="1:1" x14ac:dyDescent="0.25">
      <c r="A754" s="35"/>
    </row>
    <row r="755" spans="1:1" x14ac:dyDescent="0.25">
      <c r="A755" s="35"/>
    </row>
    <row r="756" spans="1:1" x14ac:dyDescent="0.25">
      <c r="A756" s="35"/>
    </row>
    <row r="757" spans="1:1" x14ac:dyDescent="0.25">
      <c r="A757" s="35"/>
    </row>
    <row r="758" spans="1:1" x14ac:dyDescent="0.25">
      <c r="A758" s="35"/>
    </row>
    <row r="759" spans="1:1" x14ac:dyDescent="0.25">
      <c r="A759" s="35"/>
    </row>
    <row r="760" spans="1:1" x14ac:dyDescent="0.25">
      <c r="A760" s="35"/>
    </row>
    <row r="761" spans="1:1" x14ac:dyDescent="0.25">
      <c r="A761" s="35"/>
    </row>
    <row r="762" spans="1:1" x14ac:dyDescent="0.25">
      <c r="A762" s="35"/>
    </row>
    <row r="763" spans="1:1" x14ac:dyDescent="0.25">
      <c r="A763" s="35"/>
    </row>
    <row r="764" spans="1:1" x14ac:dyDescent="0.25">
      <c r="A764" s="35"/>
    </row>
    <row r="765" spans="1:1" x14ac:dyDescent="0.25">
      <c r="A765" s="35"/>
    </row>
    <row r="766" spans="1:1" x14ac:dyDescent="0.25">
      <c r="A766" s="35"/>
    </row>
    <row r="767" spans="1:1" ht="13.15" customHeight="1" x14ac:dyDescent="0.25">
      <c r="A767" s="35"/>
    </row>
    <row r="768" spans="1:1" x14ac:dyDescent="0.25">
      <c r="A768" s="35"/>
    </row>
    <row r="769" spans="1:1" x14ac:dyDescent="0.25">
      <c r="A769" s="35"/>
    </row>
    <row r="770" spans="1:1" x14ac:dyDescent="0.25">
      <c r="A770" s="35"/>
    </row>
    <row r="771" spans="1:1" x14ac:dyDescent="0.25">
      <c r="A771" s="35"/>
    </row>
    <row r="772" spans="1:1" x14ac:dyDescent="0.25">
      <c r="A772" s="35"/>
    </row>
    <row r="773" spans="1:1" x14ac:dyDescent="0.25">
      <c r="A773" s="35"/>
    </row>
    <row r="774" spans="1:1" x14ac:dyDescent="0.25">
      <c r="A774" s="35"/>
    </row>
    <row r="775" spans="1:1" x14ac:dyDescent="0.25">
      <c r="A775" s="35"/>
    </row>
    <row r="776" spans="1:1" x14ac:dyDescent="0.25">
      <c r="A776" s="35"/>
    </row>
    <row r="777" spans="1:1" x14ac:dyDescent="0.25">
      <c r="A777" s="35"/>
    </row>
    <row r="778" spans="1:1" x14ac:dyDescent="0.25">
      <c r="A778" s="35"/>
    </row>
    <row r="779" spans="1:1" x14ac:dyDescent="0.25">
      <c r="A779" s="35"/>
    </row>
    <row r="780" spans="1:1" x14ac:dyDescent="0.25">
      <c r="A780" s="35"/>
    </row>
    <row r="781" spans="1:1" x14ac:dyDescent="0.25">
      <c r="A781" s="35"/>
    </row>
    <row r="782" spans="1:1" x14ac:dyDescent="0.25">
      <c r="A782" s="35"/>
    </row>
    <row r="783" spans="1:1" x14ac:dyDescent="0.25">
      <c r="A783" s="35"/>
    </row>
    <row r="784" spans="1:1" x14ac:dyDescent="0.25">
      <c r="A784" s="35"/>
    </row>
    <row r="785" spans="1:1" x14ac:dyDescent="0.25">
      <c r="A785" s="35"/>
    </row>
    <row r="786" spans="1:1" x14ac:dyDescent="0.25">
      <c r="A786" s="35"/>
    </row>
    <row r="787" spans="1:1" x14ac:dyDescent="0.25">
      <c r="A787" s="35"/>
    </row>
    <row r="788" spans="1:1" x14ac:dyDescent="0.25">
      <c r="A788" s="35"/>
    </row>
    <row r="789" spans="1:1" x14ac:dyDescent="0.25">
      <c r="A789" s="35"/>
    </row>
    <row r="790" spans="1:1" x14ac:dyDescent="0.25">
      <c r="A790" s="35"/>
    </row>
    <row r="791" spans="1:1" x14ac:dyDescent="0.25">
      <c r="A791" s="35"/>
    </row>
    <row r="792" spans="1:1" x14ac:dyDescent="0.25">
      <c r="A792" s="35"/>
    </row>
    <row r="793" spans="1:1" x14ac:dyDescent="0.25">
      <c r="A793" s="35"/>
    </row>
    <row r="794" spans="1:1" x14ac:dyDescent="0.25">
      <c r="A794" s="35"/>
    </row>
    <row r="795" spans="1:1" x14ac:dyDescent="0.25">
      <c r="A795" s="35"/>
    </row>
    <row r="796" spans="1:1" x14ac:dyDescent="0.25">
      <c r="A796" s="35"/>
    </row>
    <row r="797" spans="1:1" x14ac:dyDescent="0.25">
      <c r="A797" s="35"/>
    </row>
    <row r="798" spans="1:1" x14ac:dyDescent="0.25">
      <c r="A798" s="35"/>
    </row>
    <row r="799" spans="1:1" x14ac:dyDescent="0.25">
      <c r="A799" s="35"/>
    </row>
    <row r="800" spans="1:1" x14ac:dyDescent="0.25">
      <c r="A800" s="35"/>
    </row>
    <row r="801" spans="1:1" x14ac:dyDescent="0.25">
      <c r="A801" s="35"/>
    </row>
    <row r="802" spans="1:1" x14ac:dyDescent="0.25">
      <c r="A802" s="35"/>
    </row>
    <row r="803" spans="1:1" x14ac:dyDescent="0.25">
      <c r="A803" s="35"/>
    </row>
    <row r="804" spans="1:1" x14ac:dyDescent="0.25">
      <c r="A804" s="35"/>
    </row>
    <row r="805" spans="1:1" x14ac:dyDescent="0.25">
      <c r="A805" s="35"/>
    </row>
    <row r="806" spans="1:1" x14ac:dyDescent="0.25">
      <c r="A806" s="35"/>
    </row>
    <row r="807" spans="1:1" x14ac:dyDescent="0.25">
      <c r="A807" s="35"/>
    </row>
    <row r="808" spans="1:1" x14ac:dyDescent="0.25">
      <c r="A808" s="35"/>
    </row>
    <row r="809" spans="1:1" x14ac:dyDescent="0.25">
      <c r="A809" s="35"/>
    </row>
    <row r="810" spans="1:1" x14ac:dyDescent="0.25">
      <c r="A810" s="35"/>
    </row>
    <row r="811" spans="1:1" x14ac:dyDescent="0.25">
      <c r="A811" s="35"/>
    </row>
    <row r="812" spans="1:1" x14ac:dyDescent="0.25">
      <c r="A812" s="35"/>
    </row>
    <row r="813" spans="1:1" x14ac:dyDescent="0.25">
      <c r="A813" s="35"/>
    </row>
    <row r="814" spans="1:1" x14ac:dyDescent="0.25">
      <c r="A814" s="35"/>
    </row>
    <row r="815" spans="1:1" x14ac:dyDescent="0.25">
      <c r="A815" s="35"/>
    </row>
    <row r="816" spans="1:1" x14ac:dyDescent="0.25">
      <c r="A816" s="35"/>
    </row>
    <row r="817" spans="1:1" x14ac:dyDescent="0.25">
      <c r="A817" s="35"/>
    </row>
    <row r="818" spans="1:1" x14ac:dyDescent="0.25">
      <c r="A818" s="35"/>
    </row>
    <row r="819" spans="1:1" x14ac:dyDescent="0.25">
      <c r="A819" s="35"/>
    </row>
    <row r="820" spans="1:1" x14ac:dyDescent="0.25">
      <c r="A820" s="35"/>
    </row>
    <row r="821" spans="1:1" x14ac:dyDescent="0.25">
      <c r="A821" s="35"/>
    </row>
    <row r="822" spans="1:1" x14ac:dyDescent="0.25">
      <c r="A822" s="35"/>
    </row>
    <row r="823" spans="1:1" x14ac:dyDescent="0.25">
      <c r="A823" s="35"/>
    </row>
    <row r="824" spans="1:1" x14ac:dyDescent="0.25">
      <c r="A824" s="35"/>
    </row>
    <row r="825" spans="1:1" x14ac:dyDescent="0.25">
      <c r="A825" s="35"/>
    </row>
    <row r="826" spans="1:1" x14ac:dyDescent="0.25">
      <c r="A826" s="35"/>
    </row>
    <row r="827" spans="1:1" x14ac:dyDescent="0.25">
      <c r="A827" s="35"/>
    </row>
    <row r="828" spans="1:1" x14ac:dyDescent="0.25">
      <c r="A828" s="35"/>
    </row>
    <row r="829" spans="1:1" x14ac:dyDescent="0.25">
      <c r="A829" s="35"/>
    </row>
    <row r="830" spans="1:1" x14ac:dyDescent="0.25">
      <c r="A830" s="35"/>
    </row>
    <row r="831" spans="1:1" x14ac:dyDescent="0.25">
      <c r="A831" s="35"/>
    </row>
    <row r="832" spans="1:1" x14ac:dyDescent="0.25">
      <c r="A832" s="35"/>
    </row>
    <row r="833" spans="1:1" x14ac:dyDescent="0.25">
      <c r="A833" s="35"/>
    </row>
    <row r="834" spans="1:1" x14ac:dyDescent="0.25">
      <c r="A834" s="35"/>
    </row>
    <row r="835" spans="1:1" x14ac:dyDescent="0.25">
      <c r="A835" s="35"/>
    </row>
    <row r="836" spans="1:1" x14ac:dyDescent="0.25">
      <c r="A836" s="35"/>
    </row>
    <row r="837" spans="1:1" x14ac:dyDescent="0.25">
      <c r="A837" s="35"/>
    </row>
    <row r="838" spans="1:1" x14ac:dyDescent="0.25">
      <c r="A838" s="35"/>
    </row>
    <row r="839" spans="1:1" x14ac:dyDescent="0.25">
      <c r="A839" s="35"/>
    </row>
    <row r="840" spans="1:1" x14ac:dyDescent="0.25">
      <c r="A840" s="35"/>
    </row>
    <row r="841" spans="1:1" x14ac:dyDescent="0.25">
      <c r="A841" s="35"/>
    </row>
    <row r="842" spans="1:1" x14ac:dyDescent="0.25">
      <c r="A842" s="35"/>
    </row>
    <row r="843" spans="1:1" x14ac:dyDescent="0.25">
      <c r="A843" s="35"/>
    </row>
    <row r="844" spans="1:1" x14ac:dyDescent="0.25">
      <c r="A844" s="35"/>
    </row>
    <row r="845" spans="1:1" x14ac:dyDescent="0.25">
      <c r="A845" s="35"/>
    </row>
    <row r="846" spans="1:1" x14ac:dyDescent="0.25">
      <c r="A846" s="35"/>
    </row>
    <row r="847" spans="1:1" x14ac:dyDescent="0.25">
      <c r="A847" s="35"/>
    </row>
    <row r="848" spans="1:1" x14ac:dyDescent="0.25">
      <c r="A848" s="35"/>
    </row>
    <row r="849" spans="1:1" x14ac:dyDescent="0.25">
      <c r="A849" s="35"/>
    </row>
    <row r="850" spans="1:1" x14ac:dyDescent="0.25">
      <c r="A850" s="35"/>
    </row>
    <row r="851" spans="1:1" x14ac:dyDescent="0.25">
      <c r="A851" s="35"/>
    </row>
    <row r="852" spans="1:1" x14ac:dyDescent="0.25">
      <c r="A852" s="35"/>
    </row>
    <row r="853" spans="1:1" x14ac:dyDescent="0.25">
      <c r="A853" s="35"/>
    </row>
    <row r="854" spans="1:1" x14ac:dyDescent="0.25">
      <c r="A854" s="35"/>
    </row>
    <row r="855" spans="1:1" x14ac:dyDescent="0.25">
      <c r="A855" s="35"/>
    </row>
    <row r="856" spans="1:1" x14ac:dyDescent="0.25">
      <c r="A856" s="35"/>
    </row>
    <row r="857" spans="1:1" x14ac:dyDescent="0.25">
      <c r="A857" s="35"/>
    </row>
    <row r="858" spans="1:1" x14ac:dyDescent="0.25">
      <c r="A858" s="35"/>
    </row>
    <row r="859" spans="1:1" x14ac:dyDescent="0.25">
      <c r="A859" s="35"/>
    </row>
    <row r="860" spans="1:1" x14ac:dyDescent="0.25">
      <c r="A860" s="35"/>
    </row>
    <row r="861" spans="1:1" x14ac:dyDescent="0.25">
      <c r="A861" s="35"/>
    </row>
    <row r="862" spans="1:1" x14ac:dyDescent="0.25">
      <c r="A862" s="35"/>
    </row>
    <row r="863" spans="1:1" x14ac:dyDescent="0.25">
      <c r="A863" s="35"/>
    </row>
    <row r="864" spans="1:1" x14ac:dyDescent="0.25">
      <c r="A864" s="35"/>
    </row>
    <row r="865" spans="1:1" x14ac:dyDescent="0.25">
      <c r="A865" s="35"/>
    </row>
    <row r="866" spans="1:1" x14ac:dyDescent="0.25">
      <c r="A866" s="35"/>
    </row>
    <row r="867" spans="1:1" x14ac:dyDescent="0.25">
      <c r="A867" s="35"/>
    </row>
    <row r="868" spans="1:1" x14ac:dyDescent="0.25">
      <c r="A868" s="35"/>
    </row>
    <row r="869" spans="1:1" x14ac:dyDescent="0.25">
      <c r="A869" s="35"/>
    </row>
    <row r="870" spans="1:1" x14ac:dyDescent="0.25">
      <c r="A870" s="35"/>
    </row>
    <row r="871" spans="1:1" x14ac:dyDescent="0.25">
      <c r="A871" s="35"/>
    </row>
    <row r="872" spans="1:1" x14ac:dyDescent="0.25">
      <c r="A872" s="35"/>
    </row>
    <row r="873" spans="1:1" x14ac:dyDescent="0.25">
      <c r="A873" s="35"/>
    </row>
    <row r="874" spans="1:1" x14ac:dyDescent="0.25">
      <c r="A874" s="35"/>
    </row>
    <row r="875" spans="1:1" x14ac:dyDescent="0.25">
      <c r="A875" s="35"/>
    </row>
    <row r="876" spans="1:1" x14ac:dyDescent="0.25">
      <c r="A876" s="35"/>
    </row>
    <row r="877" spans="1:1" x14ac:dyDescent="0.25">
      <c r="A877" s="35"/>
    </row>
    <row r="878" spans="1:1" x14ac:dyDescent="0.25">
      <c r="A878" s="35"/>
    </row>
    <row r="879" spans="1:1" x14ac:dyDescent="0.25">
      <c r="A879" s="35"/>
    </row>
    <row r="880" spans="1:1" x14ac:dyDescent="0.25">
      <c r="A880" s="35"/>
    </row>
    <row r="881" spans="1:1" x14ac:dyDescent="0.25">
      <c r="A881" s="35"/>
    </row>
    <row r="882" spans="1:1" x14ac:dyDescent="0.25">
      <c r="A882" s="35"/>
    </row>
    <row r="883" spans="1:1" x14ac:dyDescent="0.25">
      <c r="A883" s="35"/>
    </row>
    <row r="884" spans="1:1" x14ac:dyDescent="0.25">
      <c r="A884" s="35"/>
    </row>
    <row r="885" spans="1:1" x14ac:dyDescent="0.25">
      <c r="A885" s="35"/>
    </row>
    <row r="886" spans="1:1" x14ac:dyDescent="0.25">
      <c r="A886" s="35"/>
    </row>
    <row r="887" spans="1:1" x14ac:dyDescent="0.25">
      <c r="A887" s="35"/>
    </row>
    <row r="888" spans="1:1" x14ac:dyDescent="0.25">
      <c r="A888" s="35"/>
    </row>
    <row r="889" spans="1:1" x14ac:dyDescent="0.25">
      <c r="A889" s="35"/>
    </row>
    <row r="890" spans="1:1" x14ac:dyDescent="0.25">
      <c r="A890" s="35"/>
    </row>
    <row r="891" spans="1:1" x14ac:dyDescent="0.25">
      <c r="A891" s="35"/>
    </row>
    <row r="892" spans="1:1" x14ac:dyDescent="0.25">
      <c r="A892" s="35"/>
    </row>
    <row r="893" spans="1:1" x14ac:dyDescent="0.25">
      <c r="A893" s="35"/>
    </row>
    <row r="894" spans="1:1" x14ac:dyDescent="0.25">
      <c r="A894" s="35"/>
    </row>
    <row r="895" spans="1:1" x14ac:dyDescent="0.25">
      <c r="A895" s="35"/>
    </row>
    <row r="896" spans="1:1" x14ac:dyDescent="0.25">
      <c r="A896" s="35"/>
    </row>
    <row r="897" spans="1:1" x14ac:dyDescent="0.25">
      <c r="A897" s="35"/>
    </row>
    <row r="898" spans="1:1" x14ac:dyDescent="0.25">
      <c r="A898" s="35"/>
    </row>
    <row r="899" spans="1:1" x14ac:dyDescent="0.25">
      <c r="A899" s="35"/>
    </row>
    <row r="900" spans="1:1" x14ac:dyDescent="0.25">
      <c r="A900" s="35"/>
    </row>
    <row r="901" spans="1:1" x14ac:dyDescent="0.25">
      <c r="A901" s="35"/>
    </row>
    <row r="902" spans="1:1" x14ac:dyDescent="0.25">
      <c r="A902" s="35"/>
    </row>
    <row r="903" spans="1:1" x14ac:dyDescent="0.25">
      <c r="A903" s="35"/>
    </row>
    <row r="904" spans="1:1" x14ac:dyDescent="0.25">
      <c r="A904" s="35"/>
    </row>
    <row r="905" spans="1:1" x14ac:dyDescent="0.25">
      <c r="A905" s="35"/>
    </row>
    <row r="906" spans="1:1" x14ac:dyDescent="0.25">
      <c r="A906" s="35"/>
    </row>
    <row r="907" spans="1:1" x14ac:dyDescent="0.25">
      <c r="A907" s="35"/>
    </row>
    <row r="908" spans="1:1" x14ac:dyDescent="0.25">
      <c r="A908" s="35"/>
    </row>
    <row r="909" spans="1:1" x14ac:dyDescent="0.25">
      <c r="A909" s="35"/>
    </row>
    <row r="910" spans="1:1" x14ac:dyDescent="0.25">
      <c r="A910" s="35"/>
    </row>
    <row r="911" spans="1:1" x14ac:dyDescent="0.25">
      <c r="A911" s="35"/>
    </row>
    <row r="912" spans="1:1" x14ac:dyDescent="0.25">
      <c r="A912" s="35"/>
    </row>
    <row r="913" spans="1:1" x14ac:dyDescent="0.25">
      <c r="A913" s="35"/>
    </row>
    <row r="914" spans="1:1" x14ac:dyDescent="0.25">
      <c r="A914" s="35"/>
    </row>
    <row r="915" spans="1:1" x14ac:dyDescent="0.25">
      <c r="A915" s="35"/>
    </row>
    <row r="916" spans="1:1" x14ac:dyDescent="0.25">
      <c r="A916" s="35"/>
    </row>
    <row r="917" spans="1:1" x14ac:dyDescent="0.25">
      <c r="A917" s="35"/>
    </row>
    <row r="918" spans="1:1" x14ac:dyDescent="0.25">
      <c r="A918" s="35"/>
    </row>
    <row r="919" spans="1:1" x14ac:dyDescent="0.25">
      <c r="A919" s="35"/>
    </row>
    <row r="920" spans="1:1" x14ac:dyDescent="0.25">
      <c r="A920" s="35"/>
    </row>
    <row r="921" spans="1:1" x14ac:dyDescent="0.25">
      <c r="A921" s="35"/>
    </row>
    <row r="922" spans="1:1" x14ac:dyDescent="0.25">
      <c r="A922" s="35"/>
    </row>
    <row r="923" spans="1:1" x14ac:dyDescent="0.25">
      <c r="A923" s="35"/>
    </row>
    <row r="924" spans="1:1" x14ac:dyDescent="0.25">
      <c r="A924" s="35"/>
    </row>
    <row r="925" spans="1:1" x14ac:dyDescent="0.25">
      <c r="A925" s="35"/>
    </row>
    <row r="926" spans="1:1" x14ac:dyDescent="0.25">
      <c r="A926" s="35"/>
    </row>
    <row r="927" spans="1:1" x14ac:dyDescent="0.25">
      <c r="A927" s="35"/>
    </row>
    <row r="928" spans="1:1" x14ac:dyDescent="0.25">
      <c r="A928" s="35"/>
    </row>
    <row r="929" spans="1:1" x14ac:dyDescent="0.25">
      <c r="A929" s="35"/>
    </row>
    <row r="930" spans="1:1" x14ac:dyDescent="0.25">
      <c r="A930" s="35"/>
    </row>
    <row r="931" spans="1:1" x14ac:dyDescent="0.25">
      <c r="A931" s="35"/>
    </row>
    <row r="932" spans="1:1" x14ac:dyDescent="0.25">
      <c r="A932" s="35"/>
    </row>
    <row r="933" spans="1:1" x14ac:dyDescent="0.25">
      <c r="A933" s="35"/>
    </row>
    <row r="934" spans="1:1" x14ac:dyDescent="0.25">
      <c r="A934" s="35"/>
    </row>
    <row r="935" spans="1:1" x14ac:dyDescent="0.25">
      <c r="A935" s="35"/>
    </row>
    <row r="936" spans="1:1" x14ac:dyDescent="0.25">
      <c r="A936" s="35"/>
    </row>
    <row r="937" spans="1:1" x14ac:dyDescent="0.25">
      <c r="A937" s="35"/>
    </row>
    <row r="938" spans="1:1" x14ac:dyDescent="0.25">
      <c r="A938" s="35"/>
    </row>
    <row r="939" spans="1:1" x14ac:dyDescent="0.25">
      <c r="A939" s="35"/>
    </row>
    <row r="940" spans="1:1" x14ac:dyDescent="0.25">
      <c r="A940" s="35"/>
    </row>
    <row r="941" spans="1:1" x14ac:dyDescent="0.25">
      <c r="A941" s="35"/>
    </row>
    <row r="942" spans="1:1" x14ac:dyDescent="0.25">
      <c r="A942" s="35"/>
    </row>
    <row r="943" spans="1:1" x14ac:dyDescent="0.25">
      <c r="A943" s="35"/>
    </row>
    <row r="944" spans="1:1" x14ac:dyDescent="0.25">
      <c r="A944" s="35"/>
    </row>
    <row r="945" spans="1:1" x14ac:dyDescent="0.25">
      <c r="A945" s="35"/>
    </row>
    <row r="946" spans="1:1" x14ac:dyDescent="0.25">
      <c r="A946" s="35"/>
    </row>
    <row r="947" spans="1:1" x14ac:dyDescent="0.25">
      <c r="A947" s="35"/>
    </row>
    <row r="948" spans="1:1" x14ac:dyDescent="0.25">
      <c r="A948" s="35"/>
    </row>
    <row r="949" spans="1:1" x14ac:dyDescent="0.25">
      <c r="A949" s="35"/>
    </row>
    <row r="950" spans="1:1" x14ac:dyDescent="0.25">
      <c r="A950" s="35"/>
    </row>
    <row r="951" spans="1:1" x14ac:dyDescent="0.25">
      <c r="A951" s="35"/>
    </row>
    <row r="952" spans="1:1" x14ac:dyDescent="0.25">
      <c r="A952" s="35"/>
    </row>
    <row r="953" spans="1:1" x14ac:dyDescent="0.25">
      <c r="A953" s="35"/>
    </row>
    <row r="954" spans="1:1" x14ac:dyDescent="0.25">
      <c r="A954" s="35"/>
    </row>
    <row r="955" spans="1:1" x14ac:dyDescent="0.25">
      <c r="A955" s="35"/>
    </row>
    <row r="956" spans="1:1" x14ac:dyDescent="0.25">
      <c r="A956" s="35"/>
    </row>
    <row r="957" spans="1:1" x14ac:dyDescent="0.25">
      <c r="A957" s="35"/>
    </row>
    <row r="958" spans="1:1" x14ac:dyDescent="0.25">
      <c r="A958" s="35"/>
    </row>
    <row r="959" spans="1:1" x14ac:dyDescent="0.25">
      <c r="A959" s="35"/>
    </row>
    <row r="960" spans="1:1" x14ac:dyDescent="0.25">
      <c r="A960" s="35"/>
    </row>
    <row r="961" spans="1:1" x14ac:dyDescent="0.25">
      <c r="A961" s="35"/>
    </row>
    <row r="962" spans="1:1" x14ac:dyDescent="0.25">
      <c r="A962" s="35"/>
    </row>
    <row r="963" spans="1:1" x14ac:dyDescent="0.25">
      <c r="A963" s="35"/>
    </row>
    <row r="964" spans="1:1" x14ac:dyDescent="0.25">
      <c r="A964" s="35"/>
    </row>
    <row r="965" spans="1:1" x14ac:dyDescent="0.25">
      <c r="A965" s="35"/>
    </row>
    <row r="966" spans="1:1" x14ac:dyDescent="0.25">
      <c r="A966" s="35"/>
    </row>
    <row r="967" spans="1:1" x14ac:dyDescent="0.25">
      <c r="A967" s="35"/>
    </row>
    <row r="968" spans="1:1" x14ac:dyDescent="0.25">
      <c r="A968" s="35"/>
    </row>
    <row r="969" spans="1:1" x14ac:dyDescent="0.25">
      <c r="A969" s="35"/>
    </row>
    <row r="970" spans="1:1" x14ac:dyDescent="0.25">
      <c r="A970" s="35"/>
    </row>
    <row r="971" spans="1:1" x14ac:dyDescent="0.25">
      <c r="A971" s="35"/>
    </row>
    <row r="972" spans="1:1" x14ac:dyDescent="0.25">
      <c r="A972" s="35"/>
    </row>
    <row r="973" spans="1:1" x14ac:dyDescent="0.25">
      <c r="A973" s="35"/>
    </row>
    <row r="974" spans="1:1" x14ac:dyDescent="0.25">
      <c r="A974" s="35"/>
    </row>
    <row r="975" spans="1:1" x14ac:dyDescent="0.25">
      <c r="A975" s="35"/>
    </row>
    <row r="976" spans="1:1" x14ac:dyDescent="0.25">
      <c r="A976" s="35"/>
    </row>
    <row r="977" spans="1:1" x14ac:dyDescent="0.25">
      <c r="A977" s="35"/>
    </row>
    <row r="978" spans="1:1" x14ac:dyDescent="0.25">
      <c r="A978" s="35"/>
    </row>
    <row r="979" spans="1:1" x14ac:dyDescent="0.25">
      <c r="A979" s="35"/>
    </row>
    <row r="980" spans="1:1" x14ac:dyDescent="0.25">
      <c r="A980" s="35"/>
    </row>
    <row r="981" spans="1:1" x14ac:dyDescent="0.25">
      <c r="A981" s="35"/>
    </row>
    <row r="982" spans="1:1" x14ac:dyDescent="0.25">
      <c r="A982" s="35"/>
    </row>
    <row r="983" spans="1:1" x14ac:dyDescent="0.25">
      <c r="A983" s="35"/>
    </row>
    <row r="984" spans="1:1" x14ac:dyDescent="0.25">
      <c r="A984" s="35"/>
    </row>
    <row r="985" spans="1:1" x14ac:dyDescent="0.25">
      <c r="A985" s="35"/>
    </row>
    <row r="986" spans="1:1" x14ac:dyDescent="0.25">
      <c r="A986" s="35"/>
    </row>
    <row r="987" spans="1:1" x14ac:dyDescent="0.25">
      <c r="A987" s="35"/>
    </row>
    <row r="988" spans="1:1" x14ac:dyDescent="0.25">
      <c r="A988" s="35"/>
    </row>
    <row r="989" spans="1:1" x14ac:dyDescent="0.25">
      <c r="A989" s="35"/>
    </row>
    <row r="990" spans="1:1" x14ac:dyDescent="0.25">
      <c r="A990" s="35"/>
    </row>
    <row r="991" spans="1:1" x14ac:dyDescent="0.25">
      <c r="A991" s="35"/>
    </row>
    <row r="992" spans="1:1" x14ac:dyDescent="0.25">
      <c r="A992" s="35"/>
    </row>
    <row r="993" spans="1:1" x14ac:dyDescent="0.25">
      <c r="A993" s="35"/>
    </row>
    <row r="994" spans="1:1" x14ac:dyDescent="0.25">
      <c r="A994" s="35"/>
    </row>
    <row r="995" spans="1:1" x14ac:dyDescent="0.25">
      <c r="A995" s="35"/>
    </row>
    <row r="996" spans="1:1" x14ac:dyDescent="0.25">
      <c r="A996" s="35"/>
    </row>
    <row r="997" spans="1:1" x14ac:dyDescent="0.25">
      <c r="A997" s="35"/>
    </row>
    <row r="998" spans="1:1" x14ac:dyDescent="0.25">
      <c r="A998" s="35"/>
    </row>
    <row r="999" spans="1:1" x14ac:dyDescent="0.25">
      <c r="A999" s="35"/>
    </row>
    <row r="1000" spans="1:1" x14ac:dyDescent="0.25">
      <c r="A1000" s="35"/>
    </row>
    <row r="1001" spans="1:1" x14ac:dyDescent="0.25">
      <c r="A1001" s="35"/>
    </row>
    <row r="1002" spans="1:1" x14ac:dyDescent="0.25">
      <c r="A1002" s="35"/>
    </row>
    <row r="1003" spans="1:1" x14ac:dyDescent="0.25">
      <c r="A1003" s="35"/>
    </row>
    <row r="1004" spans="1:1" x14ac:dyDescent="0.25">
      <c r="A1004" s="35"/>
    </row>
    <row r="1005" spans="1:1" x14ac:dyDescent="0.25">
      <c r="A1005" s="35"/>
    </row>
    <row r="1006" spans="1:1" x14ac:dyDescent="0.25">
      <c r="A1006" s="35"/>
    </row>
    <row r="1007" spans="1:1" x14ac:dyDescent="0.25">
      <c r="A1007" s="35"/>
    </row>
    <row r="1008" spans="1:1" x14ac:dyDescent="0.25">
      <c r="A1008" s="35"/>
    </row>
    <row r="1009" spans="1:1" x14ac:dyDescent="0.25">
      <c r="A1009" s="35"/>
    </row>
    <row r="1010" spans="1:1" x14ac:dyDescent="0.25">
      <c r="A1010" s="35"/>
    </row>
    <row r="1011" spans="1:1" x14ac:dyDescent="0.25">
      <c r="A1011" s="35"/>
    </row>
    <row r="1012" spans="1:1" x14ac:dyDescent="0.25">
      <c r="A1012" s="35"/>
    </row>
    <row r="1013" spans="1:1" x14ac:dyDescent="0.25">
      <c r="A1013" s="35"/>
    </row>
    <row r="1014" spans="1:1" x14ac:dyDescent="0.25">
      <c r="A1014" s="35"/>
    </row>
    <row r="1015" spans="1:1" x14ac:dyDescent="0.25">
      <c r="A1015" s="35"/>
    </row>
    <row r="1016" spans="1:1" x14ac:dyDescent="0.25">
      <c r="A1016" s="35"/>
    </row>
    <row r="1017" spans="1:1" x14ac:dyDescent="0.25">
      <c r="A1017" s="35"/>
    </row>
    <row r="1018" spans="1:1" x14ac:dyDescent="0.25">
      <c r="A1018" s="35"/>
    </row>
    <row r="1019" spans="1:1" x14ac:dyDescent="0.25">
      <c r="A1019" s="35"/>
    </row>
    <row r="1020" spans="1:1" x14ac:dyDescent="0.25">
      <c r="A1020" s="35"/>
    </row>
    <row r="1021" spans="1:1" x14ac:dyDescent="0.25">
      <c r="A1021" s="35"/>
    </row>
    <row r="1022" spans="1:1" x14ac:dyDescent="0.25">
      <c r="A1022" s="35"/>
    </row>
    <row r="1023" spans="1:1" x14ac:dyDescent="0.25">
      <c r="A1023" s="35"/>
    </row>
    <row r="1024" spans="1:1" x14ac:dyDescent="0.25">
      <c r="A1024" s="35"/>
    </row>
    <row r="1025" spans="1:1" x14ac:dyDescent="0.25">
      <c r="A1025" s="35"/>
    </row>
    <row r="1026" spans="1:1" x14ac:dyDescent="0.25">
      <c r="A1026" s="35"/>
    </row>
    <row r="1027" spans="1:1" x14ac:dyDescent="0.25">
      <c r="A1027" s="35"/>
    </row>
    <row r="1028" spans="1:1" x14ac:dyDescent="0.25">
      <c r="A1028" s="35"/>
    </row>
    <row r="1029" spans="1:1" x14ac:dyDescent="0.25">
      <c r="A1029" s="35"/>
    </row>
    <row r="1030" spans="1:1" x14ac:dyDescent="0.25">
      <c r="A1030" s="35"/>
    </row>
    <row r="1031" spans="1:1" x14ac:dyDescent="0.25">
      <c r="A1031" s="35"/>
    </row>
    <row r="1032" spans="1:1" x14ac:dyDescent="0.25">
      <c r="A1032" s="35"/>
    </row>
    <row r="1033" spans="1:1" x14ac:dyDescent="0.25">
      <c r="A1033" s="35"/>
    </row>
    <row r="1034" spans="1:1" x14ac:dyDescent="0.25">
      <c r="A1034" s="35"/>
    </row>
    <row r="1035" spans="1:1" x14ac:dyDescent="0.25">
      <c r="A1035" s="35"/>
    </row>
    <row r="1036" spans="1:1" x14ac:dyDescent="0.25">
      <c r="A1036" s="35"/>
    </row>
    <row r="1037" spans="1:1" x14ac:dyDescent="0.25">
      <c r="A1037" s="35"/>
    </row>
    <row r="1038" spans="1:1" x14ac:dyDescent="0.25">
      <c r="A1038" s="35"/>
    </row>
    <row r="1039" spans="1:1" x14ac:dyDescent="0.25">
      <c r="A1039" s="35"/>
    </row>
    <row r="1040" spans="1:1" x14ac:dyDescent="0.25">
      <c r="A1040" s="35"/>
    </row>
    <row r="1041" spans="1:1" x14ac:dyDescent="0.25">
      <c r="A1041" s="35"/>
    </row>
    <row r="1042" spans="1:1" x14ac:dyDescent="0.25">
      <c r="A1042" s="35"/>
    </row>
    <row r="1043" spans="1:1" x14ac:dyDescent="0.25">
      <c r="A1043" s="35"/>
    </row>
    <row r="1044" spans="1:1" x14ac:dyDescent="0.25">
      <c r="A1044" s="35"/>
    </row>
    <row r="1045" spans="1:1" x14ac:dyDescent="0.25">
      <c r="A1045" s="35"/>
    </row>
    <row r="1046" spans="1:1" x14ac:dyDescent="0.25">
      <c r="A1046" s="35"/>
    </row>
    <row r="1047" spans="1:1" x14ac:dyDescent="0.25">
      <c r="A1047" s="35"/>
    </row>
    <row r="1048" spans="1:1" x14ac:dyDescent="0.25">
      <c r="A1048" s="35"/>
    </row>
    <row r="1049" spans="1:1" x14ac:dyDescent="0.25">
      <c r="A1049" s="35"/>
    </row>
    <row r="1050" spans="1:1" x14ac:dyDescent="0.25">
      <c r="A1050" s="35"/>
    </row>
    <row r="1051" spans="1:1" x14ac:dyDescent="0.25">
      <c r="A1051" s="35"/>
    </row>
    <row r="1052" spans="1:1" x14ac:dyDescent="0.25">
      <c r="A1052" s="35"/>
    </row>
    <row r="1053" spans="1:1" x14ac:dyDescent="0.25">
      <c r="A1053" s="35"/>
    </row>
    <row r="1054" spans="1:1" x14ac:dyDescent="0.25">
      <c r="A1054" s="35"/>
    </row>
    <row r="1055" spans="1:1" x14ac:dyDescent="0.25">
      <c r="A1055" s="35"/>
    </row>
    <row r="1056" spans="1:1" x14ac:dyDescent="0.25">
      <c r="A1056" s="35"/>
    </row>
    <row r="1057" spans="1:1" x14ac:dyDescent="0.25">
      <c r="A1057" s="35"/>
    </row>
    <row r="1058" spans="1:1" x14ac:dyDescent="0.25">
      <c r="A1058" s="35"/>
    </row>
    <row r="1059" spans="1:1" x14ac:dyDescent="0.25">
      <c r="A1059" s="35"/>
    </row>
    <row r="1060" spans="1:1" x14ac:dyDescent="0.25">
      <c r="A1060" s="35"/>
    </row>
    <row r="1061" spans="1:1" x14ac:dyDescent="0.25">
      <c r="A1061" s="35"/>
    </row>
    <row r="1062" spans="1:1" x14ac:dyDescent="0.25">
      <c r="A1062" s="35"/>
    </row>
    <row r="1063" spans="1:1" x14ac:dyDescent="0.25">
      <c r="A1063" s="35"/>
    </row>
    <row r="1064" spans="1:1" x14ac:dyDescent="0.25">
      <c r="A1064" s="35"/>
    </row>
    <row r="1065" spans="1:1" x14ac:dyDescent="0.25">
      <c r="A1065" s="35"/>
    </row>
    <row r="1066" spans="1:1" x14ac:dyDescent="0.25">
      <c r="A1066" s="35"/>
    </row>
    <row r="1067" spans="1:1" x14ac:dyDescent="0.25">
      <c r="A1067" s="35"/>
    </row>
    <row r="1068" spans="1:1" x14ac:dyDescent="0.25">
      <c r="A1068" s="35"/>
    </row>
    <row r="1069" spans="1:1" x14ac:dyDescent="0.25">
      <c r="A1069" s="35"/>
    </row>
    <row r="1070" spans="1:1" x14ac:dyDescent="0.25">
      <c r="A1070" s="35"/>
    </row>
    <row r="1071" spans="1:1" x14ac:dyDescent="0.25">
      <c r="A1071" s="35"/>
    </row>
    <row r="1072" spans="1:1" x14ac:dyDescent="0.25">
      <c r="A1072" s="35"/>
    </row>
    <row r="1073" spans="1:1" x14ac:dyDescent="0.25">
      <c r="A1073" s="35"/>
    </row>
    <row r="1074" spans="1:1" x14ac:dyDescent="0.25">
      <c r="A1074" s="35"/>
    </row>
    <row r="1075" spans="1:1" x14ac:dyDescent="0.25">
      <c r="A1075" s="35"/>
    </row>
    <row r="1076" spans="1:1" x14ac:dyDescent="0.25">
      <c r="A1076" s="35"/>
    </row>
    <row r="1077" spans="1:1" x14ac:dyDescent="0.25">
      <c r="A1077" s="35"/>
    </row>
    <row r="1078" spans="1:1" x14ac:dyDescent="0.25">
      <c r="A1078" s="35"/>
    </row>
    <row r="1079" spans="1:1" x14ac:dyDescent="0.25">
      <c r="A1079" s="35"/>
    </row>
    <row r="1080" spans="1:1" x14ac:dyDescent="0.25">
      <c r="A1080" s="35"/>
    </row>
    <row r="1081" spans="1:1" x14ac:dyDescent="0.25">
      <c r="A1081" s="35"/>
    </row>
    <row r="1082" spans="1:1" x14ac:dyDescent="0.25">
      <c r="A1082" s="35"/>
    </row>
    <row r="1083" spans="1:1" x14ac:dyDescent="0.25">
      <c r="A1083" s="35"/>
    </row>
    <row r="1084" spans="1:1" x14ac:dyDescent="0.25">
      <c r="A1084" s="35"/>
    </row>
    <row r="1085" spans="1:1" x14ac:dyDescent="0.25">
      <c r="A1085" s="35"/>
    </row>
    <row r="1086" spans="1:1" x14ac:dyDescent="0.25">
      <c r="A1086" s="35"/>
    </row>
    <row r="1087" spans="1:1" x14ac:dyDescent="0.25">
      <c r="A1087" s="35"/>
    </row>
    <row r="1088" spans="1:1" x14ac:dyDescent="0.25">
      <c r="A1088" s="35"/>
    </row>
    <row r="1089" spans="1:1" x14ac:dyDescent="0.25">
      <c r="A1089" s="35"/>
    </row>
    <row r="1090" spans="1:1" x14ac:dyDescent="0.25">
      <c r="A1090" s="35"/>
    </row>
    <row r="1091" spans="1:1" x14ac:dyDescent="0.25">
      <c r="A1091" s="35"/>
    </row>
    <row r="1092" spans="1:1" x14ac:dyDescent="0.25">
      <c r="A1092" s="35"/>
    </row>
    <row r="1093" spans="1:1" x14ac:dyDescent="0.25">
      <c r="A1093" s="35"/>
    </row>
    <row r="1094" spans="1:1" x14ac:dyDescent="0.25">
      <c r="A1094" s="35"/>
    </row>
    <row r="1095" spans="1:1" x14ac:dyDescent="0.25">
      <c r="A1095" s="35"/>
    </row>
    <row r="1096" spans="1:1" x14ac:dyDescent="0.25">
      <c r="A1096" s="35"/>
    </row>
    <row r="1097" spans="1:1" x14ac:dyDescent="0.25">
      <c r="A1097" s="35"/>
    </row>
    <row r="1098" spans="1:1" x14ac:dyDescent="0.25">
      <c r="A1098" s="35"/>
    </row>
    <row r="1099" spans="1:1" x14ac:dyDescent="0.25">
      <c r="A1099" s="35"/>
    </row>
    <row r="1100" spans="1:1" x14ac:dyDescent="0.25">
      <c r="A1100" s="35"/>
    </row>
    <row r="1101" spans="1:1" x14ac:dyDescent="0.25">
      <c r="A1101" s="35"/>
    </row>
    <row r="1102" spans="1:1" x14ac:dyDescent="0.25">
      <c r="A1102" s="35"/>
    </row>
    <row r="1103" spans="1:1" x14ac:dyDescent="0.25">
      <c r="A1103" s="35"/>
    </row>
    <row r="1104" spans="1:1" x14ac:dyDescent="0.25">
      <c r="A1104" s="35"/>
    </row>
    <row r="1105" spans="1:1" x14ac:dyDescent="0.25">
      <c r="A1105" s="35"/>
    </row>
    <row r="1106" spans="1:1" x14ac:dyDescent="0.25">
      <c r="A1106" s="35"/>
    </row>
    <row r="1107" spans="1:1" x14ac:dyDescent="0.25">
      <c r="A1107" s="35"/>
    </row>
    <row r="1108" spans="1:1" x14ac:dyDescent="0.25">
      <c r="A1108" s="35"/>
    </row>
    <row r="1109" spans="1:1" x14ac:dyDescent="0.25">
      <c r="A1109" s="35"/>
    </row>
    <row r="1110" spans="1:1" x14ac:dyDescent="0.25">
      <c r="A1110" s="35"/>
    </row>
    <row r="1111" spans="1:1" x14ac:dyDescent="0.25">
      <c r="A1111" s="35"/>
    </row>
    <row r="1112" spans="1:1" x14ac:dyDescent="0.25">
      <c r="A1112" s="35"/>
    </row>
    <row r="1113" spans="1:1" x14ac:dyDescent="0.25">
      <c r="A1113" s="35"/>
    </row>
    <row r="1114" spans="1:1" x14ac:dyDescent="0.25">
      <c r="A1114" s="35"/>
    </row>
    <row r="1115" spans="1:1" x14ac:dyDescent="0.25">
      <c r="A1115" s="35"/>
    </row>
    <row r="1116" spans="1:1" x14ac:dyDescent="0.25">
      <c r="A1116" s="35"/>
    </row>
    <row r="1117" spans="1:1" x14ac:dyDescent="0.25">
      <c r="A1117" s="35"/>
    </row>
    <row r="1118" spans="1:1" x14ac:dyDescent="0.25">
      <c r="A1118" s="35"/>
    </row>
    <row r="1119" spans="1:1" x14ac:dyDescent="0.25">
      <c r="A1119" s="35"/>
    </row>
    <row r="1120" spans="1:1" x14ac:dyDescent="0.25">
      <c r="A1120" s="35"/>
    </row>
    <row r="1121" spans="1:1" x14ac:dyDescent="0.25">
      <c r="A1121" s="35"/>
    </row>
    <row r="1123" spans="1:1" x14ac:dyDescent="0.25">
      <c r="A1123" s="35"/>
    </row>
    <row r="1124" spans="1:1" x14ac:dyDescent="0.25">
      <c r="A1124" s="35"/>
    </row>
    <row r="1125" spans="1:1" x14ac:dyDescent="0.25">
      <c r="A1125" s="35"/>
    </row>
    <row r="1126" spans="1:1" x14ac:dyDescent="0.25">
      <c r="A1126" s="35"/>
    </row>
    <row r="1127" spans="1:1" x14ac:dyDescent="0.25">
      <c r="A1127" s="35"/>
    </row>
    <row r="1128" spans="1:1" x14ac:dyDescent="0.25">
      <c r="A1128" s="35"/>
    </row>
    <row r="1129" spans="1:1" x14ac:dyDescent="0.25">
      <c r="A1129" s="35"/>
    </row>
    <row r="1130" spans="1:1" x14ac:dyDescent="0.25">
      <c r="A1130" s="35"/>
    </row>
    <row r="1131" spans="1:1" x14ac:dyDescent="0.25">
      <c r="A1131" s="35"/>
    </row>
    <row r="1132" spans="1:1" x14ac:dyDescent="0.25">
      <c r="A1132" s="35"/>
    </row>
    <row r="1133" spans="1:1" x14ac:dyDescent="0.25">
      <c r="A1133" s="35"/>
    </row>
    <row r="1134" spans="1:1" x14ac:dyDescent="0.25">
      <c r="A1134" s="35"/>
    </row>
    <row r="1135" spans="1:1" x14ac:dyDescent="0.25">
      <c r="A1135" s="35"/>
    </row>
    <row r="1136" spans="1:1" x14ac:dyDescent="0.25">
      <c r="A1136" s="35"/>
    </row>
    <row r="1137" spans="1:1" x14ac:dyDescent="0.25">
      <c r="A1137" s="35"/>
    </row>
    <row r="1138" spans="1:1" x14ac:dyDescent="0.25">
      <c r="A1138" s="35"/>
    </row>
    <row r="1139" spans="1:1" x14ac:dyDescent="0.25">
      <c r="A1139" s="35"/>
    </row>
    <row r="1140" spans="1:1" x14ac:dyDescent="0.25">
      <c r="A1140" s="35"/>
    </row>
    <row r="1141" spans="1:1" x14ac:dyDescent="0.25">
      <c r="A1141" s="35"/>
    </row>
    <row r="1142" spans="1:1" x14ac:dyDescent="0.25">
      <c r="A1142" s="35"/>
    </row>
    <row r="1143" spans="1:1" x14ac:dyDescent="0.25">
      <c r="A1143" s="35"/>
    </row>
    <row r="1144" spans="1:1" x14ac:dyDescent="0.25">
      <c r="A1144" s="35"/>
    </row>
    <row r="1145" spans="1:1" x14ac:dyDescent="0.25">
      <c r="A1145" s="35"/>
    </row>
    <row r="1146" spans="1:1" x14ac:dyDescent="0.25">
      <c r="A1146" s="35"/>
    </row>
    <row r="1147" spans="1:1" x14ac:dyDescent="0.25">
      <c r="A1147" s="35"/>
    </row>
    <row r="1148" spans="1:1" x14ac:dyDescent="0.25">
      <c r="A1148" s="35"/>
    </row>
    <row r="1149" spans="1:1" x14ac:dyDescent="0.25">
      <c r="A1149" s="35"/>
    </row>
    <row r="1150" spans="1:1" x14ac:dyDescent="0.25">
      <c r="A1150" s="35"/>
    </row>
    <row r="1151" spans="1:1" x14ac:dyDescent="0.25">
      <c r="A1151" s="35"/>
    </row>
    <row r="1152" spans="1:1" x14ac:dyDescent="0.25">
      <c r="A1152" s="35"/>
    </row>
    <row r="1153" spans="1:1" x14ac:dyDescent="0.25">
      <c r="A1153" s="35"/>
    </row>
    <row r="1154" spans="1:1" x14ac:dyDescent="0.25">
      <c r="A1154" s="35"/>
    </row>
    <row r="1155" spans="1:1" x14ac:dyDescent="0.25">
      <c r="A1155" s="35"/>
    </row>
    <row r="1156" spans="1:1" x14ac:dyDescent="0.25">
      <c r="A1156" s="35"/>
    </row>
    <row r="1157" spans="1:1" x14ac:dyDescent="0.25">
      <c r="A1157" s="35"/>
    </row>
    <row r="1158" spans="1:1" x14ac:dyDescent="0.25">
      <c r="A1158" s="35"/>
    </row>
    <row r="1159" spans="1:1" x14ac:dyDescent="0.25">
      <c r="A1159" s="35"/>
    </row>
    <row r="1160" spans="1:1" x14ac:dyDescent="0.25">
      <c r="A1160" s="35"/>
    </row>
    <row r="1161" spans="1:1" x14ac:dyDescent="0.25">
      <c r="A1161" s="35"/>
    </row>
    <row r="1162" spans="1:1" x14ac:dyDescent="0.25">
      <c r="A1162" s="35"/>
    </row>
    <row r="1163" spans="1:1" x14ac:dyDescent="0.25">
      <c r="A1163" s="35"/>
    </row>
    <row r="1164" spans="1:1" x14ac:dyDescent="0.25">
      <c r="A1164" s="35"/>
    </row>
    <row r="1165" spans="1:1" x14ac:dyDescent="0.25">
      <c r="A1165" s="35"/>
    </row>
    <row r="1166" spans="1:1" x14ac:dyDescent="0.25">
      <c r="A1166" s="35"/>
    </row>
    <row r="1167" spans="1:1" x14ac:dyDescent="0.25">
      <c r="A1167" s="35"/>
    </row>
    <row r="1168" spans="1:1" x14ac:dyDescent="0.25">
      <c r="A1168" s="35"/>
    </row>
    <row r="1169" spans="1:1" x14ac:dyDescent="0.25">
      <c r="A1169" s="35"/>
    </row>
    <row r="1170" spans="1:1" x14ac:dyDescent="0.25">
      <c r="A1170" s="35"/>
    </row>
    <row r="1171" spans="1:1" x14ac:dyDescent="0.25">
      <c r="A1171" s="35"/>
    </row>
    <row r="1172" spans="1:1" x14ac:dyDescent="0.25">
      <c r="A1172" s="35"/>
    </row>
    <row r="1173" spans="1:1" x14ac:dyDescent="0.25">
      <c r="A1173" s="35"/>
    </row>
    <row r="1174" spans="1:1" x14ac:dyDescent="0.25">
      <c r="A1174" s="35"/>
    </row>
    <row r="1175" spans="1:1" x14ac:dyDescent="0.25">
      <c r="A1175" s="35"/>
    </row>
    <row r="1176" spans="1:1" x14ac:dyDescent="0.25">
      <c r="A1176" s="35"/>
    </row>
    <row r="1177" spans="1:1" x14ac:dyDescent="0.25">
      <c r="A1177" s="35"/>
    </row>
    <row r="1178" spans="1:1" x14ac:dyDescent="0.25">
      <c r="A1178" s="35"/>
    </row>
    <row r="1179" spans="1:1" x14ac:dyDescent="0.25">
      <c r="A1179" s="35"/>
    </row>
    <row r="1180" spans="1:1" x14ac:dyDescent="0.25">
      <c r="A1180" s="35"/>
    </row>
    <row r="1181" spans="1:1" x14ac:dyDescent="0.25">
      <c r="A1181" s="35"/>
    </row>
    <row r="1182" spans="1:1" x14ac:dyDescent="0.25">
      <c r="A1182" s="35"/>
    </row>
    <row r="1183" spans="1:1" x14ac:dyDescent="0.25">
      <c r="A1183" s="35"/>
    </row>
    <row r="1184" spans="1:1" x14ac:dyDescent="0.25">
      <c r="A1184" s="35"/>
    </row>
    <row r="1185" spans="1:1" x14ac:dyDescent="0.25">
      <c r="A1185" s="35"/>
    </row>
    <row r="1186" spans="1:1" x14ac:dyDescent="0.25">
      <c r="A1186" s="35"/>
    </row>
    <row r="1187" spans="1:1" x14ac:dyDescent="0.25">
      <c r="A1187" s="35"/>
    </row>
    <row r="1188" spans="1:1" x14ac:dyDescent="0.25">
      <c r="A1188" s="35"/>
    </row>
    <row r="1189" spans="1:1" x14ac:dyDescent="0.25">
      <c r="A1189" s="35"/>
    </row>
    <row r="1190" spans="1:1" x14ac:dyDescent="0.25">
      <c r="A1190" s="35"/>
    </row>
    <row r="1191" spans="1:1" x14ac:dyDescent="0.25">
      <c r="A1191" s="35"/>
    </row>
    <row r="1192" spans="1:1" x14ac:dyDescent="0.25">
      <c r="A1192" s="35"/>
    </row>
    <row r="1193" spans="1:1" x14ac:dyDescent="0.25">
      <c r="A1193" s="35"/>
    </row>
    <row r="1194" spans="1:1" x14ac:dyDescent="0.25">
      <c r="A1194" s="35"/>
    </row>
    <row r="1195" spans="1:1" x14ac:dyDescent="0.25">
      <c r="A1195" s="35"/>
    </row>
    <row r="1196" spans="1:1" x14ac:dyDescent="0.25">
      <c r="A1196" s="35"/>
    </row>
    <row r="1197" spans="1:1" x14ac:dyDescent="0.25">
      <c r="A1197" s="35"/>
    </row>
    <row r="1198" spans="1:1" x14ac:dyDescent="0.25">
      <c r="A1198" s="35"/>
    </row>
    <row r="1199" spans="1:1" x14ac:dyDescent="0.25">
      <c r="A1199" s="35"/>
    </row>
    <row r="1200" spans="1:1" x14ac:dyDescent="0.25">
      <c r="A1200" s="35"/>
    </row>
    <row r="1201" spans="1:1" x14ac:dyDescent="0.25">
      <c r="A1201" s="35"/>
    </row>
    <row r="1202" spans="1:1" x14ac:dyDescent="0.25">
      <c r="A1202" s="35"/>
    </row>
    <row r="1203" spans="1:1" x14ac:dyDescent="0.25">
      <c r="A1203" s="35"/>
    </row>
    <row r="1204" spans="1:1" x14ac:dyDescent="0.25">
      <c r="A1204" s="35"/>
    </row>
    <row r="1205" spans="1:1" x14ac:dyDescent="0.25">
      <c r="A1205" s="35"/>
    </row>
    <row r="1206" spans="1:1" x14ac:dyDescent="0.25">
      <c r="A1206" s="35"/>
    </row>
    <row r="1207" spans="1:1" x14ac:dyDescent="0.25">
      <c r="A1207" s="35"/>
    </row>
    <row r="1208" spans="1:1" x14ac:dyDescent="0.25">
      <c r="A1208" s="35"/>
    </row>
    <row r="1209" spans="1:1" x14ac:dyDescent="0.25">
      <c r="A1209" s="35"/>
    </row>
    <row r="1210" spans="1:1" x14ac:dyDescent="0.25">
      <c r="A1210" s="35"/>
    </row>
    <row r="1211" spans="1:1" x14ac:dyDescent="0.25">
      <c r="A1211" s="35"/>
    </row>
    <row r="1212" spans="1:1" x14ac:dyDescent="0.25">
      <c r="A1212" s="35"/>
    </row>
    <row r="1214" spans="1:1" x14ac:dyDescent="0.25">
      <c r="A1214" s="35"/>
    </row>
    <row r="1215" spans="1:1" x14ac:dyDescent="0.25">
      <c r="A1215" s="35"/>
    </row>
    <row r="1216" spans="1:1" x14ac:dyDescent="0.25">
      <c r="A1216" s="35"/>
    </row>
    <row r="1217" spans="1:1" x14ac:dyDescent="0.25">
      <c r="A1217" s="35"/>
    </row>
    <row r="1218" spans="1:1" x14ac:dyDescent="0.25">
      <c r="A1218" s="35"/>
    </row>
    <row r="1219" spans="1:1" x14ac:dyDescent="0.25">
      <c r="A1219" s="35"/>
    </row>
    <row r="1220" spans="1:1" x14ac:dyDescent="0.25">
      <c r="A1220" s="35"/>
    </row>
    <row r="1221" spans="1:1" x14ac:dyDescent="0.25">
      <c r="A1221" s="35"/>
    </row>
    <row r="1222" spans="1:1" x14ac:dyDescent="0.25">
      <c r="A1222" s="35"/>
    </row>
    <row r="1223" spans="1:1" x14ac:dyDescent="0.25">
      <c r="A1223" s="35"/>
    </row>
    <row r="1224" spans="1:1" x14ac:dyDescent="0.25">
      <c r="A1224" s="35"/>
    </row>
    <row r="1225" spans="1:1" x14ac:dyDescent="0.25">
      <c r="A1225" s="35"/>
    </row>
    <row r="1226" spans="1:1" x14ac:dyDescent="0.25">
      <c r="A1226" s="35"/>
    </row>
    <row r="1227" spans="1:1" x14ac:dyDescent="0.25">
      <c r="A1227" s="35"/>
    </row>
    <row r="1228" spans="1:1" x14ac:dyDescent="0.25">
      <c r="A1228" s="35"/>
    </row>
    <row r="1229" spans="1:1" x14ac:dyDescent="0.25">
      <c r="A1229" s="35"/>
    </row>
    <row r="1230" spans="1:1" x14ac:dyDescent="0.25">
      <c r="A1230" s="35"/>
    </row>
    <row r="1231" spans="1:1" x14ac:dyDescent="0.25">
      <c r="A1231" s="35"/>
    </row>
    <row r="1232" spans="1:1" x14ac:dyDescent="0.25">
      <c r="A1232" s="35"/>
    </row>
    <row r="1233" spans="1:1" x14ac:dyDescent="0.25">
      <c r="A1233" s="35"/>
    </row>
    <row r="1234" spans="1:1" x14ac:dyDescent="0.25">
      <c r="A1234" s="35"/>
    </row>
    <row r="1235" spans="1:1" x14ac:dyDescent="0.25">
      <c r="A1235" s="35"/>
    </row>
    <row r="1236" spans="1:1" x14ac:dyDescent="0.25">
      <c r="A1236" s="35"/>
    </row>
    <row r="1237" spans="1:1" x14ac:dyDescent="0.25">
      <c r="A1237" s="35"/>
    </row>
    <row r="1238" spans="1:1" x14ac:dyDescent="0.25">
      <c r="A1238" s="35"/>
    </row>
    <row r="1239" spans="1:1" x14ac:dyDescent="0.25">
      <c r="A1239" s="35"/>
    </row>
    <row r="1240" spans="1:1" x14ac:dyDescent="0.25">
      <c r="A1240" s="35"/>
    </row>
    <row r="1241" spans="1:1" x14ac:dyDescent="0.25">
      <c r="A1241" s="35"/>
    </row>
    <row r="1242" spans="1:1" x14ac:dyDescent="0.25">
      <c r="A1242" s="35"/>
    </row>
    <row r="1243" spans="1:1" x14ac:dyDescent="0.25">
      <c r="A1243" s="35"/>
    </row>
    <row r="1244" spans="1:1" x14ac:dyDescent="0.25">
      <c r="A1244" s="35"/>
    </row>
    <row r="1245" spans="1:1" x14ac:dyDescent="0.25">
      <c r="A1245" s="35"/>
    </row>
    <row r="1246" spans="1:1" x14ac:dyDescent="0.25">
      <c r="A1246" s="35"/>
    </row>
    <row r="1247" spans="1:1" x14ac:dyDescent="0.25">
      <c r="A1247" s="35"/>
    </row>
    <row r="1248" spans="1:1" x14ac:dyDescent="0.25">
      <c r="A1248" s="35"/>
    </row>
    <row r="1249" spans="1:1" x14ac:dyDescent="0.25">
      <c r="A1249" s="35"/>
    </row>
    <row r="1250" spans="1:1" x14ac:dyDescent="0.25">
      <c r="A1250" s="35"/>
    </row>
    <row r="1251" spans="1:1" x14ac:dyDescent="0.25">
      <c r="A1251" s="35"/>
    </row>
    <row r="1252" spans="1:1" x14ac:dyDescent="0.25">
      <c r="A1252" s="35"/>
    </row>
    <row r="1253" spans="1:1" x14ac:dyDescent="0.25">
      <c r="A1253" s="35"/>
    </row>
    <row r="1254" spans="1:1" x14ac:dyDescent="0.25">
      <c r="A1254" s="35"/>
    </row>
    <row r="1255" spans="1:1" x14ac:dyDescent="0.25">
      <c r="A1255" s="35"/>
    </row>
    <row r="1256" spans="1:1" x14ac:dyDescent="0.25">
      <c r="A1256" s="35"/>
    </row>
    <row r="1257" spans="1:1" x14ac:dyDescent="0.25">
      <c r="A1257" s="35"/>
    </row>
    <row r="1258" spans="1:1" x14ac:dyDescent="0.25">
      <c r="A1258" s="35"/>
    </row>
    <row r="1259" spans="1:1" x14ac:dyDescent="0.25">
      <c r="A1259" s="35"/>
    </row>
    <row r="1260" spans="1:1" x14ac:dyDescent="0.25">
      <c r="A1260" s="35"/>
    </row>
    <row r="1261" spans="1:1" x14ac:dyDescent="0.25">
      <c r="A1261" s="35"/>
    </row>
    <row r="1262" spans="1:1" x14ac:dyDescent="0.25">
      <c r="A1262" s="35"/>
    </row>
    <row r="1263" spans="1:1" x14ac:dyDescent="0.25">
      <c r="A1263" s="35"/>
    </row>
    <row r="1264" spans="1:1" x14ac:dyDescent="0.25">
      <c r="A1264" s="35"/>
    </row>
    <row r="1265" spans="1:1" x14ac:dyDescent="0.25">
      <c r="A1265" s="35"/>
    </row>
    <row r="1266" spans="1:1" x14ac:dyDescent="0.25">
      <c r="A1266" s="35"/>
    </row>
    <row r="1267" spans="1:1" x14ac:dyDescent="0.25">
      <c r="A1267" s="35"/>
    </row>
    <row r="1268" spans="1:1" x14ac:dyDescent="0.25">
      <c r="A1268" s="35"/>
    </row>
    <row r="1269" spans="1:1" x14ac:dyDescent="0.25">
      <c r="A1269" s="35"/>
    </row>
    <row r="1270" spans="1:1" x14ac:dyDescent="0.25">
      <c r="A1270" s="35"/>
    </row>
    <row r="1271" spans="1:1" x14ac:dyDescent="0.25">
      <c r="A1271" s="35"/>
    </row>
    <row r="1272" spans="1:1" x14ac:dyDescent="0.25">
      <c r="A1272" s="35"/>
    </row>
    <row r="1273" spans="1:1" x14ac:dyDescent="0.25">
      <c r="A1273" s="35"/>
    </row>
    <row r="1274" spans="1:1" x14ac:dyDescent="0.25">
      <c r="A1274" s="35"/>
    </row>
    <row r="1275" spans="1:1" x14ac:dyDescent="0.25">
      <c r="A1275" s="35"/>
    </row>
    <row r="1276" spans="1:1" x14ac:dyDescent="0.25">
      <c r="A1276" s="35"/>
    </row>
    <row r="1277" spans="1:1" x14ac:dyDescent="0.25">
      <c r="A1277" s="35"/>
    </row>
    <row r="1278" spans="1:1" x14ac:dyDescent="0.25">
      <c r="A1278" s="35"/>
    </row>
    <row r="1279" spans="1:1" x14ac:dyDescent="0.25">
      <c r="A1279" s="35"/>
    </row>
    <row r="1280" spans="1:1" x14ac:dyDescent="0.25">
      <c r="A1280" s="35"/>
    </row>
    <row r="1281" spans="1:1" x14ac:dyDescent="0.25">
      <c r="A1281" s="35"/>
    </row>
    <row r="1282" spans="1:1" x14ac:dyDescent="0.25">
      <c r="A1282" s="35"/>
    </row>
    <row r="1283" spans="1:1" x14ac:dyDescent="0.25">
      <c r="A1283" s="35"/>
    </row>
    <row r="1284" spans="1:1" x14ac:dyDescent="0.25">
      <c r="A1284" s="35"/>
    </row>
    <row r="1285" spans="1:1" x14ac:dyDescent="0.25">
      <c r="A1285" s="35"/>
    </row>
    <row r="1286" spans="1:1" x14ac:dyDescent="0.25">
      <c r="A1286" s="35"/>
    </row>
    <row r="1287" spans="1:1" x14ac:dyDescent="0.25">
      <c r="A1287" s="35"/>
    </row>
    <row r="1288" spans="1:1" x14ac:dyDescent="0.25">
      <c r="A1288" s="35"/>
    </row>
    <row r="1289" spans="1:1" x14ac:dyDescent="0.25">
      <c r="A1289" s="35"/>
    </row>
    <row r="1290" spans="1:1" x14ac:dyDescent="0.25">
      <c r="A1290" s="35"/>
    </row>
    <row r="1291" spans="1:1" x14ac:dyDescent="0.25">
      <c r="A1291" s="35"/>
    </row>
    <row r="1292" spans="1:1" x14ac:dyDescent="0.25">
      <c r="A1292" s="35"/>
    </row>
    <row r="1293" spans="1:1" x14ac:dyDescent="0.25">
      <c r="A1293" s="35"/>
    </row>
    <row r="1294" spans="1:1" x14ac:dyDescent="0.25">
      <c r="A1294" s="35"/>
    </row>
    <row r="1295" spans="1:1" x14ac:dyDescent="0.25">
      <c r="A1295" s="35"/>
    </row>
    <row r="1296" spans="1:1" x14ac:dyDescent="0.25">
      <c r="A1296" s="35"/>
    </row>
    <row r="1297" spans="1:1" x14ac:dyDescent="0.25">
      <c r="A1297" s="35"/>
    </row>
    <row r="1298" spans="1:1" x14ac:dyDescent="0.25">
      <c r="A1298" s="35"/>
    </row>
    <row r="1299" spans="1:1" x14ac:dyDescent="0.25">
      <c r="A1299" s="35"/>
    </row>
    <row r="1300" spans="1:1" x14ac:dyDescent="0.25">
      <c r="A1300" s="35"/>
    </row>
    <row r="1301" spans="1:1" x14ac:dyDescent="0.25">
      <c r="A1301" s="35"/>
    </row>
    <row r="1302" spans="1:1" x14ac:dyDescent="0.25">
      <c r="A1302" s="35"/>
    </row>
    <row r="1303" spans="1:1" x14ac:dyDescent="0.25">
      <c r="A1303" s="35"/>
    </row>
    <row r="1304" spans="1:1" x14ac:dyDescent="0.25">
      <c r="A1304" s="35"/>
    </row>
    <row r="1305" spans="1:1" x14ac:dyDescent="0.25">
      <c r="A1305" s="35"/>
    </row>
    <row r="1307" spans="1:1" x14ac:dyDescent="0.25">
      <c r="A1307" s="35"/>
    </row>
    <row r="1308" spans="1:1" x14ac:dyDescent="0.25">
      <c r="A1308" s="35"/>
    </row>
    <row r="1309" spans="1:1" x14ac:dyDescent="0.25">
      <c r="A1309" s="35"/>
    </row>
    <row r="1310" spans="1:1" x14ac:dyDescent="0.25">
      <c r="A1310" s="35"/>
    </row>
    <row r="1311" spans="1:1" x14ac:dyDescent="0.25">
      <c r="A1311" s="35"/>
    </row>
    <row r="1312" spans="1:1" x14ac:dyDescent="0.25">
      <c r="A1312" s="35"/>
    </row>
    <row r="1313" spans="1:1" x14ac:dyDescent="0.25">
      <c r="A1313" s="35"/>
    </row>
    <row r="1314" spans="1:1" x14ac:dyDescent="0.25">
      <c r="A1314" s="35"/>
    </row>
    <row r="1315" spans="1:1" x14ac:dyDescent="0.25">
      <c r="A1315" s="35"/>
    </row>
    <row r="1316" spans="1:1" x14ac:dyDescent="0.25">
      <c r="A1316" s="35"/>
    </row>
    <row r="1317" spans="1:1" x14ac:dyDescent="0.25">
      <c r="A1317" s="35"/>
    </row>
    <row r="1318" spans="1:1" x14ac:dyDescent="0.25">
      <c r="A1318" s="35"/>
    </row>
    <row r="1319" spans="1:1" x14ac:dyDescent="0.25">
      <c r="A1319" s="35"/>
    </row>
    <row r="1320" spans="1:1" x14ac:dyDescent="0.25">
      <c r="A1320" s="35"/>
    </row>
    <row r="1321" spans="1:1" x14ac:dyDescent="0.25">
      <c r="A1321" s="35"/>
    </row>
    <row r="1322" spans="1:1" x14ac:dyDescent="0.25">
      <c r="A1322" s="35"/>
    </row>
    <row r="1323" spans="1:1" x14ac:dyDescent="0.25">
      <c r="A1323" s="35"/>
    </row>
    <row r="1324" spans="1:1" x14ac:dyDescent="0.25">
      <c r="A1324" s="35"/>
    </row>
    <row r="1325" spans="1:1" x14ac:dyDescent="0.25">
      <c r="A1325" s="35"/>
    </row>
    <row r="1326" spans="1:1" x14ac:dyDescent="0.25">
      <c r="A1326" s="35"/>
    </row>
    <row r="1327" spans="1:1" x14ac:dyDescent="0.25">
      <c r="A1327" s="35"/>
    </row>
    <row r="1328" spans="1:1" x14ac:dyDescent="0.25">
      <c r="A1328" s="35"/>
    </row>
    <row r="1329" spans="1:1" x14ac:dyDescent="0.25">
      <c r="A1329" s="35"/>
    </row>
    <row r="1330" spans="1:1" x14ac:dyDescent="0.25">
      <c r="A1330" s="35"/>
    </row>
    <row r="1331" spans="1:1" x14ac:dyDescent="0.25">
      <c r="A1331" s="35"/>
    </row>
    <row r="1332" spans="1:1" x14ac:dyDescent="0.25">
      <c r="A1332" s="35"/>
    </row>
    <row r="1333" spans="1:1" x14ac:dyDescent="0.25">
      <c r="A1333" s="35"/>
    </row>
    <row r="1334" spans="1:1" x14ac:dyDescent="0.25">
      <c r="A1334" s="35"/>
    </row>
    <row r="1335" spans="1:1" x14ac:dyDescent="0.25">
      <c r="A1335" s="35"/>
    </row>
    <row r="1336" spans="1:1" x14ac:dyDescent="0.25">
      <c r="A1336" s="35"/>
    </row>
    <row r="1337" spans="1:1" x14ac:dyDescent="0.25">
      <c r="A1337" s="35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N768"/>
  <sheetViews>
    <sheetView zoomScale="190" zoomScaleNormal="190" workbookViewId="0">
      <selection activeCell="C9" sqref="C9"/>
    </sheetView>
  </sheetViews>
  <sheetFormatPr defaultColWidth="8.85546875" defaultRowHeight="15" x14ac:dyDescent="0.25"/>
  <cols>
    <col min="1" max="1" width="10.140625" style="33" bestFit="1" customWidth="1"/>
    <col min="2" max="2" width="5.28515625" style="33" bestFit="1" customWidth="1"/>
    <col min="3" max="3" width="31.28515625" style="33" customWidth="1"/>
    <col min="4" max="4" width="9.140625" style="33" customWidth="1"/>
    <col min="5" max="5" width="6.140625" style="33" customWidth="1"/>
    <col min="6" max="7" width="11.28515625" style="34" bestFit="1" customWidth="1"/>
    <col min="8" max="8" width="11.7109375" style="34" bestFit="1" customWidth="1"/>
    <col min="9" max="9" width="11.85546875" style="33" customWidth="1"/>
    <col min="10" max="10" width="17.140625" style="33" customWidth="1"/>
    <col min="11" max="16384" width="8.85546875" style="33"/>
  </cols>
  <sheetData>
    <row r="1" spans="1:14" ht="35.25" x14ac:dyDescent="0.5">
      <c r="B1" s="33">
        <v>47</v>
      </c>
      <c r="C1" s="31" t="s">
        <v>107</v>
      </c>
      <c r="F1" s="34">
        <f>SUM(F4:F499)</f>
        <v>0</v>
      </c>
      <c r="G1" s="34">
        <f>SUM(G4:G1048576)</f>
        <v>0</v>
      </c>
      <c r="H1" s="34">
        <f>F1-G1</f>
        <v>0</v>
      </c>
    </row>
    <row r="3" spans="1:14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194</v>
      </c>
      <c r="F3" s="34" t="s">
        <v>24</v>
      </c>
      <c r="G3" s="34" t="s">
        <v>25</v>
      </c>
      <c r="H3" s="34" t="s">
        <v>6</v>
      </c>
      <c r="J3" s="33" t="s">
        <v>74</v>
      </c>
    </row>
    <row r="6" spans="1:14" x14ac:dyDescent="0.25">
      <c r="A6" s="35"/>
    </row>
    <row r="7" spans="1:14" x14ac:dyDescent="0.25">
      <c r="A7" s="35"/>
    </row>
    <row r="8" spans="1:14" x14ac:dyDescent="0.25">
      <c r="A8" s="35"/>
    </row>
    <row r="9" spans="1:14" x14ac:dyDescent="0.25">
      <c r="A9" s="35"/>
      <c r="I9" s="33" t="s">
        <v>178</v>
      </c>
    </row>
    <row r="10" spans="1:14" x14ac:dyDescent="0.25">
      <c r="A10" s="35"/>
    </row>
    <row r="11" spans="1:14" x14ac:dyDescent="0.25">
      <c r="A11" s="35"/>
    </row>
    <row r="12" spans="1:14" x14ac:dyDescent="0.25">
      <c r="A12" s="35"/>
      <c r="I12" s="33" t="s">
        <v>197</v>
      </c>
    </row>
    <row r="13" spans="1:14" x14ac:dyDescent="0.25">
      <c r="A13" s="35"/>
    </row>
    <row r="14" spans="1:14" x14ac:dyDescent="0.25">
      <c r="A14" s="35"/>
    </row>
    <row r="15" spans="1:14" x14ac:dyDescent="0.25">
      <c r="A15" s="35"/>
    </row>
    <row r="16" spans="1:14" ht="19.5" customHeight="1" x14ac:dyDescent="0.25">
      <c r="A16" s="35"/>
      <c r="N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  <c r="I19" s="33" t="s">
        <v>197</v>
      </c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ht="17.25" customHeight="1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5" ht="18" customHeight="1" x14ac:dyDescent="0.25">
      <c r="A33" s="35"/>
    </row>
    <row r="34" spans="1:5" x14ac:dyDescent="0.25">
      <c r="A34" s="35"/>
    </row>
    <row r="35" spans="1:5" x14ac:dyDescent="0.25">
      <c r="A35" s="35"/>
      <c r="D35" s="40"/>
      <c r="E35" s="40"/>
    </row>
    <row r="36" spans="1:5" x14ac:dyDescent="0.25">
      <c r="A36" s="35"/>
      <c r="D36" s="40"/>
      <c r="E36" s="40"/>
    </row>
    <row r="37" spans="1:5" x14ac:dyDescent="0.25">
      <c r="A37" s="35"/>
      <c r="D37" s="40"/>
      <c r="E37" s="40"/>
    </row>
    <row r="38" spans="1:5" x14ac:dyDescent="0.25">
      <c r="A38" s="35"/>
      <c r="D38" s="40"/>
      <c r="E38" s="40"/>
    </row>
    <row r="39" spans="1:5" x14ac:dyDescent="0.25">
      <c r="A39" s="35"/>
      <c r="D39" s="40"/>
      <c r="E39" s="40"/>
    </row>
    <row r="40" spans="1:5" x14ac:dyDescent="0.25">
      <c r="A40" s="35"/>
      <c r="D40" s="40"/>
      <c r="E40" s="40"/>
    </row>
    <row r="41" spans="1:5" x14ac:dyDescent="0.25">
      <c r="A41" s="35"/>
      <c r="D41" s="40"/>
      <c r="E41" s="40"/>
    </row>
    <row r="42" spans="1:5" x14ac:dyDescent="0.25">
      <c r="A42" s="35"/>
      <c r="D42" s="40"/>
      <c r="E42" s="40"/>
    </row>
    <row r="43" spans="1:5" x14ac:dyDescent="0.25">
      <c r="A43" s="35"/>
      <c r="D43" s="40"/>
      <c r="E43" s="40"/>
    </row>
    <row r="44" spans="1:5" x14ac:dyDescent="0.25">
      <c r="A44" s="35"/>
      <c r="D44" s="40"/>
      <c r="E44" s="40"/>
    </row>
    <row r="45" spans="1:5" x14ac:dyDescent="0.25">
      <c r="A45" s="35"/>
      <c r="D45" s="40"/>
      <c r="E45" s="40"/>
    </row>
    <row r="46" spans="1:5" x14ac:dyDescent="0.25">
      <c r="A46" s="35"/>
      <c r="D46" s="40"/>
      <c r="E46" s="40"/>
    </row>
    <row r="47" spans="1:5" x14ac:dyDescent="0.25">
      <c r="A47" s="35"/>
      <c r="D47" s="40"/>
      <c r="E47" s="40"/>
    </row>
    <row r="48" spans="1:5" x14ac:dyDescent="0.25">
      <c r="A48" s="35"/>
      <c r="D48" s="40"/>
      <c r="E48" s="40"/>
    </row>
    <row r="49" spans="1:5" x14ac:dyDescent="0.25">
      <c r="A49" s="35"/>
      <c r="D49" s="40"/>
      <c r="E49" s="40"/>
    </row>
    <row r="50" spans="1:5" x14ac:dyDescent="0.25">
      <c r="A50" s="35"/>
      <c r="D50" s="40"/>
      <c r="E50" s="40"/>
    </row>
    <row r="51" spans="1:5" x14ac:dyDescent="0.25">
      <c r="A51" s="35"/>
      <c r="D51" s="40"/>
      <c r="E51" s="40"/>
    </row>
    <row r="52" spans="1:5" x14ac:dyDescent="0.25">
      <c r="A52" s="35"/>
      <c r="D52" s="40"/>
      <c r="E52" s="40"/>
    </row>
    <row r="53" spans="1:5" x14ac:dyDescent="0.25">
      <c r="A53" s="35"/>
      <c r="D53" s="40"/>
      <c r="E53" s="40"/>
    </row>
    <row r="54" spans="1:5" x14ac:dyDescent="0.25">
      <c r="A54" s="35"/>
      <c r="D54" s="40"/>
      <c r="E54" s="40"/>
    </row>
    <row r="55" spans="1:5" x14ac:dyDescent="0.25">
      <c r="A55" s="35"/>
      <c r="D55" s="40"/>
      <c r="E55" s="40"/>
    </row>
    <row r="56" spans="1:5" x14ac:dyDescent="0.25">
      <c r="A56" s="35"/>
      <c r="D56" s="40"/>
      <c r="E56" s="40"/>
    </row>
    <row r="57" spans="1:5" x14ac:dyDescent="0.25">
      <c r="A57" s="35"/>
      <c r="D57" s="40"/>
      <c r="E57" s="40"/>
    </row>
    <row r="58" spans="1:5" x14ac:dyDescent="0.25">
      <c r="A58" s="35"/>
      <c r="D58" s="40"/>
      <c r="E58" s="40"/>
    </row>
    <row r="59" spans="1:5" x14ac:dyDescent="0.25">
      <c r="A59" s="35"/>
      <c r="D59" s="40"/>
      <c r="E59" s="40"/>
    </row>
    <row r="60" spans="1:5" x14ac:dyDescent="0.25">
      <c r="A60" s="35"/>
      <c r="D60" s="40"/>
      <c r="E60" s="40"/>
    </row>
    <row r="61" spans="1:5" x14ac:dyDescent="0.25">
      <c r="A61" s="35"/>
      <c r="D61" s="40"/>
      <c r="E61" s="40"/>
    </row>
    <row r="62" spans="1:5" x14ac:dyDescent="0.25">
      <c r="A62" s="35"/>
      <c r="D62" s="40"/>
      <c r="E62" s="40"/>
    </row>
    <row r="63" spans="1:5" x14ac:dyDescent="0.25">
      <c r="A63" s="35"/>
      <c r="D63" s="40"/>
      <c r="E63" s="40"/>
    </row>
    <row r="64" spans="1:5" x14ac:dyDescent="0.25">
      <c r="A64" s="35"/>
      <c r="D64" s="40"/>
      <c r="E64" s="40"/>
    </row>
    <row r="65" spans="1:5" x14ac:dyDescent="0.25">
      <c r="A65" s="35"/>
      <c r="D65" s="40"/>
      <c r="E65" s="40"/>
    </row>
    <row r="66" spans="1:5" x14ac:dyDescent="0.25">
      <c r="A66" s="35"/>
      <c r="D66" s="40"/>
      <c r="E66" s="40"/>
    </row>
    <row r="67" spans="1:5" x14ac:dyDescent="0.25">
      <c r="A67" s="35"/>
    </row>
    <row r="68" spans="1:5" x14ac:dyDescent="0.25">
      <c r="A68" s="35"/>
    </row>
    <row r="69" spans="1:5" x14ac:dyDescent="0.25">
      <c r="A69" s="35"/>
      <c r="D69" s="40"/>
      <c r="E69" s="40"/>
    </row>
    <row r="70" spans="1:5" x14ac:dyDescent="0.25">
      <c r="A70" s="35"/>
      <c r="D70" s="40"/>
      <c r="E70" s="40"/>
    </row>
    <row r="71" spans="1:5" x14ac:dyDescent="0.25">
      <c r="A71" s="35"/>
      <c r="D71" s="40"/>
      <c r="E71" s="40"/>
    </row>
    <row r="72" spans="1:5" x14ac:dyDescent="0.25">
      <c r="A72" s="35"/>
      <c r="D72" s="40"/>
      <c r="E72" s="40"/>
    </row>
    <row r="73" spans="1:5" x14ac:dyDescent="0.25">
      <c r="A73" s="35"/>
      <c r="D73" s="40"/>
      <c r="E73" s="40"/>
    </row>
    <row r="74" spans="1:5" x14ac:dyDescent="0.25">
      <c r="A74" s="35"/>
      <c r="D74" s="40"/>
      <c r="E74" s="40"/>
    </row>
    <row r="75" spans="1:5" x14ac:dyDescent="0.25">
      <c r="A75" s="35"/>
      <c r="D75" s="40"/>
      <c r="E75" s="40"/>
    </row>
    <row r="76" spans="1:5" x14ac:dyDescent="0.25">
      <c r="A76" s="35"/>
      <c r="D76" s="40"/>
      <c r="E76" s="40"/>
    </row>
    <row r="77" spans="1:5" x14ac:dyDescent="0.25">
      <c r="A77" s="35"/>
      <c r="D77" s="40"/>
      <c r="E77" s="40"/>
    </row>
    <row r="78" spans="1:5" x14ac:dyDescent="0.25">
      <c r="A78" s="35"/>
      <c r="D78" s="40"/>
      <c r="E78" s="40"/>
    </row>
    <row r="79" spans="1:5" x14ac:dyDescent="0.25">
      <c r="A79" s="35"/>
      <c r="D79" s="40"/>
      <c r="E79" s="40"/>
    </row>
    <row r="80" spans="1:5" x14ac:dyDescent="0.25">
      <c r="A80" s="35"/>
      <c r="D80" s="40"/>
      <c r="E80" s="40"/>
    </row>
    <row r="81" spans="1:5" x14ac:dyDescent="0.25">
      <c r="A81" s="35"/>
    </row>
    <row r="82" spans="1:5" x14ac:dyDescent="0.25">
      <c r="A82" s="35"/>
      <c r="D82" s="40"/>
      <c r="E82" s="40"/>
    </row>
    <row r="83" spans="1:5" x14ac:dyDescent="0.25">
      <c r="A83" s="35"/>
      <c r="D83" s="40"/>
      <c r="E83" s="40"/>
    </row>
    <row r="84" spans="1:5" x14ac:dyDescent="0.25">
      <c r="A84" s="35"/>
      <c r="D84" s="40"/>
      <c r="E84" s="40"/>
    </row>
    <row r="85" spans="1:5" x14ac:dyDescent="0.25">
      <c r="A85" s="35"/>
      <c r="D85" s="40"/>
      <c r="E85" s="40"/>
    </row>
    <row r="86" spans="1:5" x14ac:dyDescent="0.25">
      <c r="A86" s="35"/>
      <c r="D86" s="40"/>
      <c r="E86" s="40"/>
    </row>
    <row r="87" spans="1:5" x14ac:dyDescent="0.25">
      <c r="A87" s="35"/>
      <c r="D87" s="40"/>
      <c r="E87" s="40"/>
    </row>
    <row r="88" spans="1:5" x14ac:dyDescent="0.25">
      <c r="A88" s="35"/>
      <c r="D88" s="40"/>
      <c r="E88" s="40"/>
    </row>
    <row r="89" spans="1:5" x14ac:dyDescent="0.25">
      <c r="A89" s="35"/>
      <c r="D89" s="40"/>
      <c r="E89" s="40"/>
    </row>
    <row r="90" spans="1:5" x14ac:dyDescent="0.25">
      <c r="A90" s="35"/>
      <c r="D90" s="40"/>
      <c r="E90" s="40"/>
    </row>
    <row r="91" spans="1:5" x14ac:dyDescent="0.25">
      <c r="A91" s="35"/>
      <c r="D91" s="40"/>
      <c r="E91" s="40"/>
    </row>
    <row r="92" spans="1:5" x14ac:dyDescent="0.25">
      <c r="A92" s="35"/>
      <c r="D92" s="40"/>
      <c r="E92" s="40"/>
    </row>
    <row r="93" spans="1:5" x14ac:dyDescent="0.25">
      <c r="A93" s="35"/>
      <c r="D93" s="40"/>
      <c r="E93" s="40"/>
    </row>
    <row r="94" spans="1:5" x14ac:dyDescent="0.25">
      <c r="A94" s="35"/>
      <c r="D94" s="40"/>
      <c r="E94" s="40"/>
    </row>
    <row r="95" spans="1:5" x14ac:dyDescent="0.25">
      <c r="A95" s="35"/>
      <c r="D95" s="40"/>
      <c r="E95" s="40"/>
    </row>
    <row r="96" spans="1:5" x14ac:dyDescent="0.25">
      <c r="A96" s="35"/>
      <c r="D96" s="40"/>
      <c r="E96" s="40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765" spans="1:9" x14ac:dyDescent="0.25">
      <c r="D765" s="33" t="s">
        <v>163</v>
      </c>
      <c r="F765" s="34">
        <v>400000</v>
      </c>
      <c r="I765" s="33">
        <v>24439903</v>
      </c>
    </row>
    <row r="766" spans="1:9" x14ac:dyDescent="0.25">
      <c r="A766" s="33" t="s">
        <v>167</v>
      </c>
      <c r="B766" s="33">
        <v>219</v>
      </c>
      <c r="C766" s="33" t="s">
        <v>158</v>
      </c>
      <c r="D766" s="33" t="s">
        <v>156</v>
      </c>
      <c r="F766" s="34">
        <v>167900</v>
      </c>
      <c r="I766" s="33">
        <v>38.799999999999997</v>
      </c>
    </row>
    <row r="767" spans="1:9" x14ac:dyDescent="0.25">
      <c r="A767" s="33" t="s">
        <v>167</v>
      </c>
      <c r="B767" s="33">
        <v>219</v>
      </c>
      <c r="C767" s="33" t="s">
        <v>158</v>
      </c>
      <c r="D767" s="33" t="s">
        <v>156</v>
      </c>
      <c r="F767" s="34">
        <v>480000</v>
      </c>
      <c r="I767" s="33">
        <v>210</v>
      </c>
    </row>
    <row r="768" spans="1:9" x14ac:dyDescent="0.25">
      <c r="A768" s="33" t="s">
        <v>167</v>
      </c>
      <c r="B768" s="33">
        <v>219</v>
      </c>
      <c r="C768" s="33" t="s">
        <v>159</v>
      </c>
      <c r="D768" s="33" t="s">
        <v>156</v>
      </c>
      <c r="F768" s="34">
        <v>148000</v>
      </c>
      <c r="I768" s="33">
        <v>1824091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7"/>
  <dimension ref="A1:I642"/>
  <sheetViews>
    <sheetView zoomScale="180" zoomScaleNormal="180" workbookViewId="0">
      <selection activeCell="I7" sqref="I7"/>
    </sheetView>
  </sheetViews>
  <sheetFormatPr defaultColWidth="8.85546875" defaultRowHeight="15.75" x14ac:dyDescent="0.25"/>
  <cols>
    <col min="1" max="1" width="10.7109375" style="59" customWidth="1"/>
    <col min="2" max="2" width="9.7109375" style="59" customWidth="1"/>
    <col min="3" max="3" width="25.140625" style="59" bestFit="1" customWidth="1"/>
    <col min="4" max="5" width="9.28515625" style="59" customWidth="1"/>
    <col min="6" max="6" width="12.28515625" style="59" customWidth="1"/>
    <col min="7" max="7" width="10.7109375" style="60" customWidth="1"/>
    <col min="8" max="8" width="11.5703125" style="60" customWidth="1"/>
    <col min="9" max="9" width="14.28515625" style="59" customWidth="1"/>
    <col min="10" max="10" width="12" style="59" bestFit="1" customWidth="1"/>
    <col min="11" max="16384" width="8.85546875" style="59"/>
  </cols>
  <sheetData>
    <row r="1" spans="1:9" x14ac:dyDescent="0.25">
      <c r="A1" s="59" t="s">
        <v>91</v>
      </c>
      <c r="D1" s="59">
        <v>29</v>
      </c>
      <c r="F1" s="59">
        <f>SUM(F4:F1048576)</f>
        <v>0</v>
      </c>
      <c r="G1" s="60">
        <f>SUM(G4:G1048576)</f>
        <v>0</v>
      </c>
      <c r="H1" s="60">
        <f>F1-G1</f>
        <v>0</v>
      </c>
    </row>
    <row r="3" spans="1:9" x14ac:dyDescent="0.25">
      <c r="A3" s="59" t="s">
        <v>21</v>
      </c>
      <c r="B3" s="59" t="s">
        <v>38</v>
      </c>
      <c r="C3" s="59" t="s">
        <v>48</v>
      </c>
      <c r="D3" s="59" t="s">
        <v>3</v>
      </c>
      <c r="E3" s="59" t="s">
        <v>193</v>
      </c>
      <c r="F3" s="59" t="s">
        <v>24</v>
      </c>
      <c r="G3" s="60" t="s">
        <v>49</v>
      </c>
      <c r="H3" s="60" t="s">
        <v>6</v>
      </c>
    </row>
    <row r="6" spans="1:9" x14ac:dyDescent="0.25">
      <c r="A6" s="61"/>
    </row>
    <row r="7" spans="1:9" x14ac:dyDescent="0.25">
      <c r="A7" s="61"/>
    </row>
    <row r="8" spans="1:9" x14ac:dyDescent="0.25">
      <c r="A8" s="61"/>
    </row>
    <row r="9" spans="1:9" x14ac:dyDescent="0.25">
      <c r="A9" s="61"/>
    </row>
    <row r="10" spans="1:9" x14ac:dyDescent="0.25">
      <c r="A10" s="61"/>
    </row>
    <row r="11" spans="1:9" x14ac:dyDescent="0.25">
      <c r="A11" s="61"/>
    </row>
    <row r="12" spans="1:9" x14ac:dyDescent="0.25">
      <c r="A12" s="61"/>
    </row>
    <row r="13" spans="1:9" x14ac:dyDescent="0.25">
      <c r="A13" s="61"/>
    </row>
    <row r="14" spans="1:9" x14ac:dyDescent="0.25">
      <c r="A14" s="61"/>
    </row>
    <row r="15" spans="1:9" x14ac:dyDescent="0.25">
      <c r="A15" s="61"/>
      <c r="I15" s="59" t="s">
        <v>178</v>
      </c>
    </row>
    <row r="16" spans="1:9" x14ac:dyDescent="0.25">
      <c r="A16" s="61"/>
    </row>
    <row r="17" spans="1:4" x14ac:dyDescent="0.25">
      <c r="A17" s="61"/>
    </row>
    <row r="18" spans="1:4" x14ac:dyDescent="0.25">
      <c r="A18" s="61"/>
    </row>
    <row r="19" spans="1:4" x14ac:dyDescent="0.25">
      <c r="A19" s="61"/>
    </row>
    <row r="20" spans="1:4" x14ac:dyDescent="0.25">
      <c r="A20" s="61"/>
      <c r="D20" s="33"/>
    </row>
    <row r="21" spans="1:4" x14ac:dyDescent="0.25">
      <c r="A21" s="61"/>
    </row>
    <row r="22" spans="1:4" x14ac:dyDescent="0.25">
      <c r="A22" s="61"/>
    </row>
    <row r="23" spans="1:4" x14ac:dyDescent="0.25">
      <c r="A23" s="61"/>
    </row>
    <row r="24" spans="1:4" x14ac:dyDescent="0.25">
      <c r="A24" s="61"/>
    </row>
    <row r="25" spans="1:4" x14ac:dyDescent="0.25">
      <c r="A25" s="61"/>
    </row>
    <row r="26" spans="1:4" x14ac:dyDescent="0.25">
      <c r="A26" s="61"/>
    </row>
    <row r="27" spans="1:4" x14ac:dyDescent="0.25">
      <c r="A27" s="61"/>
    </row>
    <row r="28" spans="1:4" x14ac:dyDescent="0.25">
      <c r="A28" s="61"/>
    </row>
    <row r="29" spans="1:4" x14ac:dyDescent="0.25">
      <c r="A29" s="61"/>
    </row>
    <row r="30" spans="1:4" x14ac:dyDescent="0.25">
      <c r="A30" s="61"/>
    </row>
    <row r="31" spans="1:4" x14ac:dyDescent="0.25">
      <c r="A31" s="61"/>
    </row>
    <row r="32" spans="1:4" x14ac:dyDescent="0.25">
      <c r="A32" s="61"/>
    </row>
    <row r="33" spans="1:5" x14ac:dyDescent="0.25">
      <c r="A33" s="35"/>
    </row>
    <row r="34" spans="1:5" x14ac:dyDescent="0.25">
      <c r="A34" s="61"/>
    </row>
    <row r="35" spans="1:5" x14ac:dyDescent="0.25">
      <c r="A35" s="61"/>
    </row>
    <row r="36" spans="1:5" x14ac:dyDescent="0.25">
      <c r="A36" s="61"/>
    </row>
    <row r="37" spans="1:5" x14ac:dyDescent="0.25">
      <c r="A37" s="61"/>
    </row>
    <row r="38" spans="1:5" x14ac:dyDescent="0.25">
      <c r="A38" s="35"/>
      <c r="B38" s="33"/>
      <c r="C38" s="33"/>
    </row>
    <row r="39" spans="1:5" x14ac:dyDescent="0.25">
      <c r="A39" s="35"/>
      <c r="B39" s="33"/>
      <c r="C39" s="33"/>
    </row>
    <row r="40" spans="1:5" x14ac:dyDescent="0.25">
      <c r="A40" s="35"/>
      <c r="B40" s="33"/>
      <c r="C40" s="33"/>
    </row>
    <row r="41" spans="1:5" x14ac:dyDescent="0.25">
      <c r="A41" s="35"/>
      <c r="B41" s="33"/>
      <c r="C41" s="33"/>
    </row>
    <row r="42" spans="1:5" x14ac:dyDescent="0.25">
      <c r="A42" s="35"/>
    </row>
    <row r="43" spans="1:5" x14ac:dyDescent="0.25">
      <c r="A43" s="35"/>
    </row>
    <row r="44" spans="1:5" x14ac:dyDescent="0.25">
      <c r="A44" s="35"/>
    </row>
    <row r="45" spans="1:5" x14ac:dyDescent="0.25">
      <c r="A45" s="35"/>
    </row>
    <row r="46" spans="1:5" x14ac:dyDescent="0.25">
      <c r="A46" s="35"/>
    </row>
    <row r="47" spans="1:5" x14ac:dyDescent="0.25">
      <c r="A47" s="35"/>
    </row>
    <row r="48" spans="1:5" ht="18" customHeight="1" x14ac:dyDescent="0.25">
      <c r="A48" s="35"/>
      <c r="D48" s="62"/>
      <c r="E48" s="62"/>
    </row>
    <row r="49" spans="1:9" x14ac:dyDescent="0.25">
      <c r="A49" s="35"/>
      <c r="B49" s="33"/>
      <c r="C49" s="33"/>
    </row>
    <row r="50" spans="1:9" x14ac:dyDescent="0.25">
      <c r="A50" s="35"/>
      <c r="B50" s="33"/>
      <c r="C50" s="33"/>
    </row>
    <row r="51" spans="1:9" x14ac:dyDescent="0.25">
      <c r="A51" s="35"/>
      <c r="B51" s="33"/>
      <c r="C51" s="33"/>
    </row>
    <row r="52" spans="1:9" x14ac:dyDescent="0.25">
      <c r="A52" s="35"/>
      <c r="I52" s="59" t="s">
        <v>197</v>
      </c>
    </row>
    <row r="53" spans="1:9" x14ac:dyDescent="0.25">
      <c r="A53" s="35"/>
    </row>
    <row r="54" spans="1:9" x14ac:dyDescent="0.25">
      <c r="A54" s="35"/>
    </row>
    <row r="55" spans="1:9" ht="15.75" customHeight="1" x14ac:dyDescent="0.25">
      <c r="A55" s="35"/>
    </row>
    <row r="56" spans="1:9" x14ac:dyDescent="0.25">
      <c r="A56" s="35"/>
    </row>
    <row r="57" spans="1:9" x14ac:dyDescent="0.25">
      <c r="A57" s="35"/>
    </row>
    <row r="58" spans="1:9" x14ac:dyDescent="0.25">
      <c r="A58" s="35"/>
    </row>
    <row r="59" spans="1:9" x14ac:dyDescent="0.25">
      <c r="A59" s="35"/>
    </row>
    <row r="60" spans="1:9" x14ac:dyDescent="0.25">
      <c r="A60" s="35"/>
    </row>
    <row r="61" spans="1:9" x14ac:dyDescent="0.25">
      <c r="A61" s="35"/>
    </row>
    <row r="62" spans="1:9" x14ac:dyDescent="0.25">
      <c r="A62" s="35"/>
    </row>
    <row r="63" spans="1:9" x14ac:dyDescent="0.25">
      <c r="A63" s="35"/>
    </row>
    <row r="64" spans="1:9" x14ac:dyDescent="0.25">
      <c r="A64" s="35"/>
    </row>
    <row r="65" spans="1:9" x14ac:dyDescent="0.25">
      <c r="A65" s="35"/>
    </row>
    <row r="66" spans="1:9" x14ac:dyDescent="0.25">
      <c r="A66" s="35"/>
    </row>
    <row r="67" spans="1:9" x14ac:dyDescent="0.25">
      <c r="A67" s="35"/>
    </row>
    <row r="68" spans="1:9" x14ac:dyDescent="0.25">
      <c r="A68" s="35"/>
    </row>
    <row r="69" spans="1:9" x14ac:dyDescent="0.25">
      <c r="A69" s="35"/>
      <c r="I69" s="59" t="s">
        <v>197</v>
      </c>
    </row>
    <row r="70" spans="1:9" x14ac:dyDescent="0.25">
      <c r="A70" s="35"/>
    </row>
    <row r="71" spans="1:9" x14ac:dyDescent="0.25">
      <c r="A71" s="35"/>
    </row>
    <row r="72" spans="1:9" x14ac:dyDescent="0.25">
      <c r="A72" s="35"/>
      <c r="B72" s="33"/>
      <c r="C72" s="33"/>
    </row>
    <row r="73" spans="1:9" x14ac:dyDescent="0.25">
      <c r="A73" s="35"/>
    </row>
    <row r="74" spans="1:9" x14ac:dyDescent="0.25">
      <c r="A74" s="35"/>
    </row>
    <row r="75" spans="1:9" x14ac:dyDescent="0.25">
      <c r="A75" s="35"/>
    </row>
    <row r="76" spans="1:9" x14ac:dyDescent="0.25">
      <c r="A76" s="35"/>
    </row>
    <row r="77" spans="1:9" x14ac:dyDescent="0.25">
      <c r="A77" s="35"/>
    </row>
    <row r="78" spans="1:9" x14ac:dyDescent="0.25">
      <c r="A78" s="35"/>
    </row>
    <row r="79" spans="1:9" x14ac:dyDescent="0.25">
      <c r="A79" s="35"/>
    </row>
    <row r="80" spans="1:9" x14ac:dyDescent="0.25">
      <c r="A80" s="35"/>
    </row>
    <row r="81" spans="1:7" x14ac:dyDescent="0.25">
      <c r="A81" s="35"/>
    </row>
    <row r="82" spans="1:7" x14ac:dyDescent="0.25">
      <c r="A82" s="35"/>
    </row>
    <row r="83" spans="1:7" x14ac:dyDescent="0.25">
      <c r="A83" s="35"/>
    </row>
    <row r="84" spans="1:7" x14ac:dyDescent="0.25">
      <c r="A84" s="35"/>
      <c r="B84" s="33"/>
      <c r="C84" s="33"/>
      <c r="D84" s="33"/>
      <c r="E84" s="33"/>
      <c r="F84" s="34"/>
      <c r="G84" s="34"/>
    </row>
    <row r="85" spans="1:7" x14ac:dyDescent="0.25">
      <c r="A85" s="35"/>
      <c r="B85" s="33"/>
      <c r="C85" s="33"/>
      <c r="D85" s="33"/>
      <c r="E85" s="33"/>
      <c r="F85" s="34"/>
      <c r="G85" s="34"/>
    </row>
    <row r="86" spans="1:7" x14ac:dyDescent="0.25">
      <c r="A86" s="35"/>
      <c r="B86" s="33"/>
      <c r="C86" s="33"/>
      <c r="D86" s="33"/>
      <c r="E86" s="33"/>
      <c r="F86" s="34"/>
      <c r="G86" s="34"/>
    </row>
    <row r="87" spans="1:7" x14ac:dyDescent="0.25">
      <c r="A87" s="35"/>
      <c r="F87" s="34"/>
    </row>
    <row r="88" spans="1:7" x14ac:dyDescent="0.25">
      <c r="A88" s="35"/>
      <c r="F88" s="34"/>
    </row>
    <row r="89" spans="1:7" x14ac:dyDescent="0.25">
      <c r="A89" s="35"/>
      <c r="C89" s="33"/>
      <c r="F89" s="34"/>
    </row>
    <row r="90" spans="1:7" x14ac:dyDescent="0.25">
      <c r="A90" s="35"/>
      <c r="F90" s="34"/>
    </row>
    <row r="91" spans="1:7" x14ac:dyDescent="0.25">
      <c r="A91" s="35"/>
      <c r="C91" s="33"/>
      <c r="F91" s="34"/>
    </row>
    <row r="92" spans="1:7" x14ac:dyDescent="0.25">
      <c r="A92" s="35"/>
      <c r="F92" s="34"/>
    </row>
    <row r="93" spans="1:7" x14ac:dyDescent="0.25">
      <c r="A93" s="35"/>
      <c r="C93" s="33"/>
      <c r="F93" s="34"/>
    </row>
    <row r="94" spans="1:7" x14ac:dyDescent="0.25">
      <c r="A94" s="35"/>
      <c r="C94" s="33"/>
      <c r="F94" s="34"/>
    </row>
    <row r="95" spans="1:7" x14ac:dyDescent="0.25">
      <c r="A95" s="35"/>
      <c r="F95" s="34"/>
    </row>
    <row r="96" spans="1:7" x14ac:dyDescent="0.25">
      <c r="A96" s="35"/>
      <c r="B96" s="33"/>
      <c r="C96" s="33"/>
      <c r="F96" s="34"/>
    </row>
    <row r="97" spans="1:7" x14ac:dyDescent="0.25">
      <c r="A97" s="35"/>
      <c r="B97" s="33"/>
      <c r="C97" s="33"/>
      <c r="F97" s="34"/>
    </row>
    <row r="98" spans="1:7" x14ac:dyDescent="0.25">
      <c r="A98" s="35"/>
      <c r="C98" s="33"/>
      <c r="F98" s="34"/>
    </row>
    <row r="99" spans="1:7" x14ac:dyDescent="0.25">
      <c r="A99" s="35"/>
      <c r="F99" s="34"/>
    </row>
    <row r="100" spans="1:7" x14ac:dyDescent="0.25">
      <c r="A100" s="35"/>
      <c r="F100" s="34"/>
    </row>
    <row r="101" spans="1:7" x14ac:dyDescent="0.25">
      <c r="A101" s="35"/>
      <c r="B101" s="33"/>
      <c r="C101" s="33"/>
      <c r="D101" s="33"/>
      <c r="E101" s="33"/>
      <c r="F101" s="34"/>
      <c r="G101" s="34"/>
    </row>
    <row r="102" spans="1:7" x14ac:dyDescent="0.25">
      <c r="A102" s="35"/>
      <c r="F102" s="34"/>
    </row>
    <row r="103" spans="1:7" x14ac:dyDescent="0.25">
      <c r="A103" s="35"/>
      <c r="F103" s="34"/>
    </row>
    <row r="104" spans="1:7" x14ac:dyDescent="0.25">
      <c r="A104" s="35"/>
      <c r="F104" s="34"/>
    </row>
    <row r="105" spans="1:7" x14ac:dyDescent="0.25">
      <c r="A105" s="35"/>
      <c r="F105" s="34"/>
    </row>
    <row r="106" spans="1:7" x14ac:dyDescent="0.25">
      <c r="A106" s="35"/>
      <c r="F106" s="34"/>
    </row>
    <row r="107" spans="1:7" x14ac:dyDescent="0.25">
      <c r="A107" s="35"/>
      <c r="F107" s="34"/>
    </row>
    <row r="108" spans="1:7" x14ac:dyDescent="0.25">
      <c r="A108" s="35"/>
      <c r="F108" s="34"/>
    </row>
    <row r="109" spans="1:7" x14ac:dyDescent="0.25">
      <c r="A109" s="35"/>
      <c r="F109" s="34"/>
    </row>
    <row r="110" spans="1:7" x14ac:dyDescent="0.25">
      <c r="A110" s="35"/>
      <c r="F110" s="34"/>
    </row>
    <row r="111" spans="1:7" x14ac:dyDescent="0.25">
      <c r="A111" s="35"/>
      <c r="F111" s="34"/>
    </row>
    <row r="112" spans="1:7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  <row r="302" spans="1:6" x14ac:dyDescent="0.25">
      <c r="A302" s="35"/>
      <c r="F302" s="34"/>
    </row>
    <row r="303" spans="1:6" x14ac:dyDescent="0.25">
      <c r="A303" s="35"/>
      <c r="F303" s="34"/>
    </row>
    <row r="304" spans="1:6" x14ac:dyDescent="0.25">
      <c r="A304" s="35"/>
      <c r="F304" s="34"/>
    </row>
    <row r="305" spans="1:6" x14ac:dyDescent="0.25">
      <c r="A305" s="35"/>
      <c r="F305" s="34"/>
    </row>
    <row r="306" spans="1:6" x14ac:dyDescent="0.25">
      <c r="A306" s="35"/>
      <c r="F306" s="34"/>
    </row>
    <row r="307" spans="1:6" x14ac:dyDescent="0.25">
      <c r="A307" s="35"/>
      <c r="F307" s="34"/>
    </row>
    <row r="308" spans="1:6" x14ac:dyDescent="0.25">
      <c r="A308" s="35"/>
      <c r="F308" s="34"/>
    </row>
    <row r="309" spans="1:6" x14ac:dyDescent="0.25">
      <c r="A309" s="35"/>
      <c r="F309" s="34"/>
    </row>
    <row r="310" spans="1:6" x14ac:dyDescent="0.25">
      <c r="A310" s="35"/>
      <c r="F310" s="34"/>
    </row>
    <row r="311" spans="1:6" x14ac:dyDescent="0.25">
      <c r="A311" s="35"/>
      <c r="F311" s="34"/>
    </row>
    <row r="312" spans="1:6" x14ac:dyDescent="0.25">
      <c r="A312" s="35"/>
      <c r="F312" s="34"/>
    </row>
    <row r="313" spans="1:6" x14ac:dyDescent="0.25">
      <c r="A313" s="35"/>
      <c r="F313" s="34"/>
    </row>
    <row r="314" spans="1:6" x14ac:dyDescent="0.25">
      <c r="A314" s="35"/>
      <c r="F314" s="34"/>
    </row>
    <row r="315" spans="1:6" x14ac:dyDescent="0.25">
      <c r="A315" s="35"/>
      <c r="F315" s="34"/>
    </row>
    <row r="316" spans="1:6" x14ac:dyDescent="0.25">
      <c r="A316" s="35"/>
      <c r="F316" s="34"/>
    </row>
    <row r="317" spans="1:6" x14ac:dyDescent="0.25">
      <c r="A317" s="35"/>
      <c r="F317" s="34"/>
    </row>
    <row r="318" spans="1:6" x14ac:dyDescent="0.25">
      <c r="A318" s="35"/>
      <c r="F318" s="34"/>
    </row>
    <row r="319" spans="1:6" x14ac:dyDescent="0.25">
      <c r="A319" s="35"/>
      <c r="F319" s="34"/>
    </row>
    <row r="320" spans="1:6" x14ac:dyDescent="0.25">
      <c r="A320" s="35"/>
      <c r="F320" s="34"/>
    </row>
    <row r="321" spans="1:6" x14ac:dyDescent="0.25">
      <c r="A321" s="35"/>
      <c r="F321" s="34"/>
    </row>
    <row r="322" spans="1:6" x14ac:dyDescent="0.25">
      <c r="A322" s="35"/>
      <c r="F322" s="34"/>
    </row>
    <row r="323" spans="1:6" x14ac:dyDescent="0.25">
      <c r="A323" s="35"/>
      <c r="F323" s="34"/>
    </row>
    <row r="324" spans="1:6" x14ac:dyDescent="0.25">
      <c r="A324" s="35"/>
      <c r="F324" s="34"/>
    </row>
    <row r="325" spans="1:6" x14ac:dyDescent="0.25">
      <c r="A325" s="35"/>
      <c r="F325" s="34"/>
    </row>
    <row r="326" spans="1:6" x14ac:dyDescent="0.25">
      <c r="A326" s="35"/>
      <c r="F326" s="34"/>
    </row>
    <row r="327" spans="1:6" x14ac:dyDescent="0.25">
      <c r="A327" s="35"/>
      <c r="F327" s="34"/>
    </row>
    <row r="328" spans="1:6" x14ac:dyDescent="0.25">
      <c r="A328" s="35"/>
      <c r="F328" s="34"/>
    </row>
    <row r="329" spans="1:6" x14ac:dyDescent="0.25">
      <c r="A329" s="35"/>
      <c r="F329" s="34"/>
    </row>
    <row r="330" spans="1:6" x14ac:dyDescent="0.25">
      <c r="A330" s="35"/>
      <c r="F330" s="34"/>
    </row>
    <row r="331" spans="1:6" x14ac:dyDescent="0.25">
      <c r="A331" s="35"/>
      <c r="F331" s="34"/>
    </row>
    <row r="332" spans="1:6" x14ac:dyDescent="0.25">
      <c r="A332" s="35"/>
      <c r="F332" s="34"/>
    </row>
    <row r="333" spans="1:6" x14ac:dyDescent="0.25">
      <c r="A333" s="35"/>
      <c r="F333" s="34"/>
    </row>
    <row r="334" spans="1:6" x14ac:dyDescent="0.25">
      <c r="A334" s="35"/>
      <c r="F334" s="34"/>
    </row>
    <row r="335" spans="1:6" x14ac:dyDescent="0.25">
      <c r="A335" s="35"/>
      <c r="F335" s="34"/>
    </row>
    <row r="336" spans="1:6" x14ac:dyDescent="0.25">
      <c r="A336" s="35"/>
      <c r="F336" s="34"/>
    </row>
    <row r="337" spans="1:6" x14ac:dyDescent="0.25">
      <c r="A337" s="35"/>
      <c r="F337" s="34"/>
    </row>
    <row r="338" spans="1:6" x14ac:dyDescent="0.25">
      <c r="A338" s="35"/>
      <c r="F338" s="34"/>
    </row>
    <row r="339" spans="1:6" x14ac:dyDescent="0.25">
      <c r="A339" s="35"/>
      <c r="F339" s="34"/>
    </row>
    <row r="340" spans="1:6" x14ac:dyDescent="0.25">
      <c r="A340" s="35"/>
      <c r="F340" s="34"/>
    </row>
    <row r="341" spans="1:6" x14ac:dyDescent="0.25">
      <c r="A341" s="35"/>
      <c r="F341" s="34"/>
    </row>
    <row r="342" spans="1:6" x14ac:dyDescent="0.25">
      <c r="A342" s="35"/>
      <c r="F342" s="34"/>
    </row>
    <row r="343" spans="1:6" x14ac:dyDescent="0.25">
      <c r="A343" s="35"/>
      <c r="F343" s="34"/>
    </row>
    <row r="344" spans="1:6" x14ac:dyDescent="0.25">
      <c r="A344" s="35"/>
      <c r="F344" s="34"/>
    </row>
    <row r="345" spans="1:6" x14ac:dyDescent="0.25">
      <c r="A345" s="35"/>
      <c r="F345" s="34"/>
    </row>
    <row r="346" spans="1:6" x14ac:dyDescent="0.25">
      <c r="A346" s="35"/>
      <c r="F346" s="34"/>
    </row>
    <row r="347" spans="1:6" x14ac:dyDescent="0.25">
      <c r="A347" s="35"/>
      <c r="F347" s="34"/>
    </row>
    <row r="348" spans="1:6" x14ac:dyDescent="0.25">
      <c r="A348" s="35"/>
      <c r="F348" s="34"/>
    </row>
    <row r="349" spans="1:6" x14ac:dyDescent="0.25">
      <c r="A349" s="35"/>
      <c r="F349" s="34"/>
    </row>
    <row r="350" spans="1:6" x14ac:dyDescent="0.25">
      <c r="A350" s="35"/>
      <c r="F350" s="34"/>
    </row>
    <row r="351" spans="1:6" x14ac:dyDescent="0.25">
      <c r="A351" s="35"/>
      <c r="F351" s="34"/>
    </row>
    <row r="352" spans="1:6" x14ac:dyDescent="0.25">
      <c r="A352" s="35"/>
      <c r="F352" s="34"/>
    </row>
    <row r="353" spans="1:6" x14ac:dyDescent="0.25">
      <c r="A353" s="35"/>
      <c r="F353" s="34"/>
    </row>
    <row r="354" spans="1:6" x14ac:dyDescent="0.25">
      <c r="A354" s="35"/>
      <c r="F354" s="34"/>
    </row>
    <row r="355" spans="1:6" x14ac:dyDescent="0.25">
      <c r="A355" s="35"/>
      <c r="F355" s="34"/>
    </row>
    <row r="356" spans="1:6" x14ac:dyDescent="0.25">
      <c r="A356" s="35"/>
      <c r="F356" s="34"/>
    </row>
    <row r="357" spans="1:6" x14ac:dyDescent="0.25">
      <c r="A357" s="35"/>
      <c r="F357" s="34"/>
    </row>
    <row r="358" spans="1:6" x14ac:dyDescent="0.25">
      <c r="A358" s="35"/>
      <c r="F358" s="34"/>
    </row>
    <row r="359" spans="1:6" x14ac:dyDescent="0.25">
      <c r="A359" s="35"/>
      <c r="F359" s="34"/>
    </row>
    <row r="360" spans="1:6" x14ac:dyDescent="0.25">
      <c r="A360" s="35"/>
      <c r="F360" s="34"/>
    </row>
    <row r="361" spans="1:6" x14ac:dyDescent="0.25">
      <c r="A361" s="35"/>
      <c r="F361" s="34"/>
    </row>
    <row r="362" spans="1:6" x14ac:dyDescent="0.25">
      <c r="A362" s="35"/>
      <c r="F362" s="34"/>
    </row>
    <row r="363" spans="1:6" x14ac:dyDescent="0.25">
      <c r="A363" s="35"/>
      <c r="F363" s="34"/>
    </row>
    <row r="364" spans="1:6" x14ac:dyDescent="0.25">
      <c r="A364" s="35"/>
      <c r="F364" s="34"/>
    </row>
    <row r="365" spans="1:6" x14ac:dyDescent="0.25">
      <c r="A365" s="35"/>
      <c r="F365" s="34"/>
    </row>
    <row r="366" spans="1:6" x14ac:dyDescent="0.25">
      <c r="A366" s="35"/>
      <c r="F366" s="34"/>
    </row>
    <row r="367" spans="1:6" x14ac:dyDescent="0.25">
      <c r="A367" s="35"/>
      <c r="F367" s="34"/>
    </row>
    <row r="368" spans="1:6" x14ac:dyDescent="0.25">
      <c r="A368" s="35"/>
      <c r="F368" s="34"/>
    </row>
    <row r="369" spans="1:6" x14ac:dyDescent="0.25">
      <c r="A369" s="35"/>
      <c r="F369" s="34"/>
    </row>
    <row r="370" spans="1:6" x14ac:dyDescent="0.25">
      <c r="A370" s="35"/>
      <c r="F370" s="34"/>
    </row>
    <row r="371" spans="1:6" x14ac:dyDescent="0.25">
      <c r="A371" s="35"/>
      <c r="F371" s="34"/>
    </row>
    <row r="372" spans="1:6" x14ac:dyDescent="0.25">
      <c r="A372" s="35"/>
      <c r="F372" s="34"/>
    </row>
    <row r="373" spans="1:6" x14ac:dyDescent="0.25">
      <c r="A373" s="35"/>
      <c r="F373" s="34"/>
    </row>
    <row r="374" spans="1:6" x14ac:dyDescent="0.25">
      <c r="A374" s="35"/>
      <c r="F374" s="34"/>
    </row>
    <row r="375" spans="1:6" x14ac:dyDescent="0.25">
      <c r="A375" s="35"/>
      <c r="F375" s="34"/>
    </row>
    <row r="376" spans="1:6" x14ac:dyDescent="0.25">
      <c r="A376" s="35"/>
      <c r="F376" s="34"/>
    </row>
    <row r="377" spans="1:6" x14ac:dyDescent="0.25">
      <c r="A377" s="35"/>
      <c r="F377" s="34"/>
    </row>
    <row r="378" spans="1:6" x14ac:dyDescent="0.25">
      <c r="A378" s="35"/>
      <c r="F378" s="34"/>
    </row>
    <row r="379" spans="1:6" x14ac:dyDescent="0.25">
      <c r="A379" s="35"/>
      <c r="F379" s="34"/>
    </row>
    <row r="380" spans="1:6" x14ac:dyDescent="0.25">
      <c r="A380" s="35"/>
      <c r="F380" s="34"/>
    </row>
    <row r="381" spans="1:6" x14ac:dyDescent="0.25">
      <c r="A381" s="35"/>
      <c r="F381" s="34"/>
    </row>
    <row r="382" spans="1:6" x14ac:dyDescent="0.25">
      <c r="A382" s="35"/>
      <c r="F382" s="34"/>
    </row>
    <row r="383" spans="1:6" x14ac:dyDescent="0.25">
      <c r="A383" s="35"/>
      <c r="F383" s="34"/>
    </row>
    <row r="384" spans="1:6" x14ac:dyDescent="0.25">
      <c r="A384" s="35"/>
      <c r="F384" s="34"/>
    </row>
    <row r="385" spans="1:6" x14ac:dyDescent="0.25">
      <c r="A385" s="35"/>
      <c r="F385" s="34"/>
    </row>
    <row r="386" spans="1:6" x14ac:dyDescent="0.25">
      <c r="A386" s="35"/>
      <c r="F386" s="34"/>
    </row>
    <row r="387" spans="1:6" x14ac:dyDescent="0.25">
      <c r="A387" s="35"/>
      <c r="F387" s="34"/>
    </row>
    <row r="388" spans="1:6" x14ac:dyDescent="0.25">
      <c r="A388" s="35"/>
      <c r="F388" s="34"/>
    </row>
    <row r="389" spans="1:6" x14ac:dyDescent="0.25">
      <c r="A389" s="35"/>
      <c r="F389" s="34"/>
    </row>
    <row r="390" spans="1:6" x14ac:dyDescent="0.25">
      <c r="A390" s="35"/>
      <c r="F390" s="34"/>
    </row>
    <row r="391" spans="1:6" x14ac:dyDescent="0.25">
      <c r="A391" s="35"/>
      <c r="F391" s="34"/>
    </row>
    <row r="392" spans="1:6" x14ac:dyDescent="0.25">
      <c r="A392" s="35"/>
      <c r="F392" s="34"/>
    </row>
    <row r="393" spans="1:6" x14ac:dyDescent="0.25">
      <c r="A393" s="35"/>
      <c r="F393" s="34"/>
    </row>
    <row r="394" spans="1:6" x14ac:dyDescent="0.25">
      <c r="A394" s="35"/>
      <c r="F394" s="34"/>
    </row>
    <row r="395" spans="1:6" x14ac:dyDescent="0.25">
      <c r="A395" s="35"/>
      <c r="F395" s="34"/>
    </row>
    <row r="396" spans="1:6" x14ac:dyDescent="0.25">
      <c r="A396" s="35"/>
      <c r="F396" s="34"/>
    </row>
    <row r="397" spans="1:6" x14ac:dyDescent="0.25">
      <c r="A397" s="35"/>
      <c r="F397" s="34"/>
    </row>
    <row r="398" spans="1:6" x14ac:dyDescent="0.25">
      <c r="A398" s="35"/>
      <c r="F398" s="34"/>
    </row>
    <row r="399" spans="1:6" x14ac:dyDescent="0.25">
      <c r="A399" s="35"/>
      <c r="F399" s="34"/>
    </row>
    <row r="400" spans="1:6" x14ac:dyDescent="0.25">
      <c r="A400" s="35"/>
      <c r="F400" s="34"/>
    </row>
    <row r="401" spans="1:6" x14ac:dyDescent="0.25">
      <c r="A401" s="35"/>
      <c r="F401" s="34"/>
    </row>
    <row r="402" spans="1:6" x14ac:dyDescent="0.25">
      <c r="A402" s="35"/>
      <c r="F402" s="34"/>
    </row>
    <row r="403" spans="1:6" x14ac:dyDescent="0.25">
      <c r="A403" s="35"/>
      <c r="F403" s="34"/>
    </row>
    <row r="404" spans="1:6" x14ac:dyDescent="0.25">
      <c r="A404" s="35"/>
      <c r="F404" s="34"/>
    </row>
    <row r="405" spans="1:6" x14ac:dyDescent="0.25">
      <c r="A405" s="35"/>
      <c r="F405" s="34"/>
    </row>
    <row r="406" spans="1:6" x14ac:dyDescent="0.25">
      <c r="A406" s="35"/>
      <c r="F406" s="34"/>
    </row>
    <row r="407" spans="1:6" x14ac:dyDescent="0.25">
      <c r="A407" s="35"/>
      <c r="F407" s="34"/>
    </row>
    <row r="408" spans="1:6" x14ac:dyDescent="0.25">
      <c r="A408" s="35"/>
      <c r="F408" s="34"/>
    </row>
    <row r="409" spans="1:6" x14ac:dyDescent="0.25">
      <c r="A409" s="35"/>
      <c r="F409" s="34"/>
    </row>
    <row r="410" spans="1:6" x14ac:dyDescent="0.25">
      <c r="A410" s="35"/>
      <c r="F410" s="34"/>
    </row>
    <row r="411" spans="1:6" x14ac:dyDescent="0.25">
      <c r="A411" s="35"/>
      <c r="F411" s="34"/>
    </row>
    <row r="412" spans="1:6" x14ac:dyDescent="0.25">
      <c r="A412" s="35"/>
      <c r="F412" s="34"/>
    </row>
    <row r="413" spans="1:6" x14ac:dyDescent="0.25">
      <c r="A413" s="35"/>
      <c r="F413" s="34"/>
    </row>
    <row r="414" spans="1:6" x14ac:dyDescent="0.25">
      <c r="A414" s="35"/>
      <c r="F414" s="34"/>
    </row>
    <row r="415" spans="1:6" x14ac:dyDescent="0.25">
      <c r="A415" s="35"/>
      <c r="F415" s="34"/>
    </row>
    <row r="416" spans="1:6" x14ac:dyDescent="0.25">
      <c r="A416" s="35"/>
      <c r="F416" s="34"/>
    </row>
    <row r="417" spans="1:6" x14ac:dyDescent="0.25">
      <c r="A417" s="35"/>
      <c r="F417" s="34"/>
    </row>
    <row r="418" spans="1:6" x14ac:dyDescent="0.25">
      <c r="A418" s="35"/>
      <c r="F418" s="34"/>
    </row>
    <row r="419" spans="1:6" x14ac:dyDescent="0.25">
      <c r="A419" s="35"/>
      <c r="F419" s="34"/>
    </row>
    <row r="420" spans="1:6" x14ac:dyDescent="0.25">
      <c r="A420" s="35"/>
      <c r="F420" s="34"/>
    </row>
    <row r="421" spans="1:6" x14ac:dyDescent="0.25">
      <c r="A421" s="35"/>
      <c r="F421" s="34"/>
    </row>
    <row r="422" spans="1:6" x14ac:dyDescent="0.25">
      <c r="A422" s="35"/>
      <c r="F422" s="34"/>
    </row>
    <row r="423" spans="1:6" x14ac:dyDescent="0.25">
      <c r="A423" s="35"/>
      <c r="F423" s="34"/>
    </row>
    <row r="424" spans="1:6" x14ac:dyDescent="0.25">
      <c r="A424" s="35"/>
      <c r="F424" s="34"/>
    </row>
    <row r="425" spans="1:6" x14ac:dyDescent="0.25">
      <c r="A425" s="35"/>
      <c r="F425" s="34"/>
    </row>
    <row r="426" spans="1:6" x14ac:dyDescent="0.25">
      <c r="A426" s="35"/>
      <c r="F426" s="34"/>
    </row>
    <row r="427" spans="1:6" x14ac:dyDescent="0.25">
      <c r="A427" s="35"/>
      <c r="F427" s="34"/>
    </row>
    <row r="428" spans="1:6" x14ac:dyDescent="0.25">
      <c r="A428" s="35"/>
      <c r="F428" s="34"/>
    </row>
    <row r="429" spans="1:6" x14ac:dyDescent="0.25">
      <c r="A429" s="35"/>
      <c r="F429" s="34"/>
    </row>
    <row r="430" spans="1:6" x14ac:dyDescent="0.25">
      <c r="A430" s="35"/>
      <c r="F430" s="34"/>
    </row>
    <row r="431" spans="1:6" x14ac:dyDescent="0.25">
      <c r="A431" s="35"/>
      <c r="F431" s="34"/>
    </row>
    <row r="432" spans="1:6" x14ac:dyDescent="0.25">
      <c r="A432" s="35"/>
      <c r="F432" s="34"/>
    </row>
    <row r="433" spans="1:6" x14ac:dyDescent="0.25">
      <c r="A433" s="35"/>
      <c r="F433" s="34"/>
    </row>
    <row r="434" spans="1:6" x14ac:dyDescent="0.25">
      <c r="A434" s="35"/>
      <c r="F434" s="34"/>
    </row>
    <row r="435" spans="1:6" x14ac:dyDescent="0.25">
      <c r="A435" s="35"/>
      <c r="F435" s="34"/>
    </row>
    <row r="436" spans="1:6" x14ac:dyDescent="0.25">
      <c r="A436" s="35"/>
      <c r="F436" s="34"/>
    </row>
    <row r="437" spans="1:6" x14ac:dyDescent="0.25">
      <c r="A437" s="35"/>
      <c r="F437" s="34"/>
    </row>
    <row r="438" spans="1:6" x14ac:dyDescent="0.25">
      <c r="A438" s="35"/>
      <c r="F438" s="34"/>
    </row>
    <row r="439" spans="1:6" x14ac:dyDescent="0.25">
      <c r="A439" s="35"/>
      <c r="F439" s="34"/>
    </row>
    <row r="440" spans="1:6" x14ac:dyDescent="0.25">
      <c r="A440" s="35"/>
      <c r="F440" s="34"/>
    </row>
    <row r="441" spans="1:6" x14ac:dyDescent="0.25">
      <c r="A441" s="35"/>
      <c r="F441" s="34"/>
    </row>
    <row r="442" spans="1:6" x14ac:dyDescent="0.25">
      <c r="A442" s="35"/>
      <c r="F442" s="34"/>
    </row>
    <row r="443" spans="1:6" x14ac:dyDescent="0.25">
      <c r="A443" s="35"/>
      <c r="F443" s="34"/>
    </row>
    <row r="444" spans="1:6" x14ac:dyDescent="0.25">
      <c r="A444" s="35"/>
      <c r="F444" s="34"/>
    </row>
    <row r="445" spans="1:6" x14ac:dyDescent="0.25">
      <c r="A445" s="35"/>
      <c r="F445" s="34"/>
    </row>
    <row r="446" spans="1:6" x14ac:dyDescent="0.25">
      <c r="A446" s="35"/>
      <c r="F446" s="34"/>
    </row>
    <row r="447" spans="1:6" x14ac:dyDescent="0.25">
      <c r="A447" s="35"/>
      <c r="F447" s="34"/>
    </row>
    <row r="448" spans="1:6" x14ac:dyDescent="0.25">
      <c r="A448" s="35"/>
      <c r="F448" s="34"/>
    </row>
    <row r="449" spans="1:6" x14ac:dyDescent="0.25">
      <c r="A449" s="35"/>
      <c r="F449" s="34"/>
    </row>
    <row r="450" spans="1:6" x14ac:dyDescent="0.25">
      <c r="A450" s="35"/>
      <c r="F450" s="34"/>
    </row>
    <row r="451" spans="1:6" x14ac:dyDescent="0.25">
      <c r="A451" s="35"/>
      <c r="F451" s="34"/>
    </row>
    <row r="452" spans="1:6" x14ac:dyDescent="0.25">
      <c r="A452" s="35"/>
      <c r="F452" s="34"/>
    </row>
    <row r="453" spans="1:6" x14ac:dyDescent="0.25">
      <c r="A453" s="35"/>
      <c r="F453" s="34"/>
    </row>
    <row r="454" spans="1:6" x14ac:dyDescent="0.25">
      <c r="A454" s="35"/>
      <c r="F454" s="34"/>
    </row>
    <row r="455" spans="1:6" x14ac:dyDescent="0.25">
      <c r="A455" s="35"/>
      <c r="F455" s="34"/>
    </row>
    <row r="456" spans="1:6" x14ac:dyDescent="0.25">
      <c r="A456" s="35"/>
      <c r="F456" s="34"/>
    </row>
    <row r="457" spans="1:6" x14ac:dyDescent="0.25">
      <c r="A457" s="35"/>
      <c r="F457" s="34"/>
    </row>
    <row r="458" spans="1:6" x14ac:dyDescent="0.25">
      <c r="A458" s="35"/>
      <c r="F458" s="34"/>
    </row>
    <row r="459" spans="1:6" x14ac:dyDescent="0.25">
      <c r="A459" s="35"/>
      <c r="F459" s="34"/>
    </row>
    <row r="460" spans="1:6" x14ac:dyDescent="0.25">
      <c r="A460" s="35"/>
      <c r="F460" s="34"/>
    </row>
    <row r="461" spans="1:6" x14ac:dyDescent="0.25">
      <c r="A461" s="35"/>
      <c r="F461" s="34"/>
    </row>
    <row r="462" spans="1:6" x14ac:dyDescent="0.25">
      <c r="A462" s="35"/>
      <c r="F462" s="34"/>
    </row>
    <row r="463" spans="1:6" x14ac:dyDescent="0.25">
      <c r="A463" s="35"/>
      <c r="F463" s="34"/>
    </row>
    <row r="464" spans="1:6" x14ac:dyDescent="0.25">
      <c r="A464" s="35"/>
      <c r="F464" s="34"/>
    </row>
    <row r="465" spans="1:6" x14ac:dyDescent="0.25">
      <c r="A465" s="35"/>
      <c r="F465" s="34"/>
    </row>
    <row r="466" spans="1:6" x14ac:dyDescent="0.25">
      <c r="A466" s="35"/>
      <c r="F466" s="34"/>
    </row>
    <row r="467" spans="1:6" x14ac:dyDescent="0.25">
      <c r="A467" s="35"/>
      <c r="F467" s="34"/>
    </row>
    <row r="468" spans="1:6" x14ac:dyDescent="0.25">
      <c r="A468" s="35"/>
      <c r="F468" s="34"/>
    </row>
    <row r="469" spans="1:6" x14ac:dyDescent="0.25">
      <c r="A469" s="35"/>
      <c r="F469" s="34"/>
    </row>
    <row r="470" spans="1:6" x14ac:dyDescent="0.25">
      <c r="A470" s="35"/>
      <c r="F470" s="34"/>
    </row>
    <row r="471" spans="1:6" x14ac:dyDescent="0.25">
      <c r="A471" s="35"/>
      <c r="F471" s="34"/>
    </row>
    <row r="472" spans="1:6" x14ac:dyDescent="0.25">
      <c r="A472" s="35"/>
      <c r="F472" s="34"/>
    </row>
    <row r="473" spans="1:6" x14ac:dyDescent="0.25">
      <c r="A473" s="35"/>
      <c r="F473" s="34"/>
    </row>
    <row r="474" spans="1:6" x14ac:dyDescent="0.25">
      <c r="A474" s="35"/>
      <c r="F474" s="34"/>
    </row>
    <row r="475" spans="1:6" x14ac:dyDescent="0.25">
      <c r="A475" s="35"/>
      <c r="F475" s="34"/>
    </row>
    <row r="476" spans="1:6" x14ac:dyDescent="0.25">
      <c r="A476" s="35"/>
      <c r="F476" s="34"/>
    </row>
    <row r="477" spans="1:6" x14ac:dyDescent="0.25">
      <c r="A477" s="35"/>
      <c r="F477" s="34"/>
    </row>
    <row r="478" spans="1:6" x14ac:dyDescent="0.25">
      <c r="A478" s="35"/>
      <c r="F478" s="34"/>
    </row>
    <row r="479" spans="1:6" x14ac:dyDescent="0.25">
      <c r="A479" s="35"/>
      <c r="F479" s="34"/>
    </row>
    <row r="480" spans="1:6" x14ac:dyDescent="0.25">
      <c r="A480" s="35"/>
      <c r="F480" s="34"/>
    </row>
    <row r="481" spans="1:6" x14ac:dyDescent="0.25">
      <c r="A481" s="35"/>
      <c r="F481" s="34"/>
    </row>
    <row r="482" spans="1:6" x14ac:dyDescent="0.25">
      <c r="A482" s="35"/>
      <c r="F482" s="34"/>
    </row>
    <row r="483" spans="1:6" x14ac:dyDescent="0.25">
      <c r="A483" s="35"/>
      <c r="F483" s="34"/>
    </row>
    <row r="484" spans="1:6" x14ac:dyDescent="0.25">
      <c r="A484" s="35"/>
      <c r="F484" s="34"/>
    </row>
    <row r="485" spans="1:6" x14ac:dyDescent="0.25">
      <c r="A485" s="35"/>
      <c r="F485" s="34"/>
    </row>
    <row r="486" spans="1:6" x14ac:dyDescent="0.25">
      <c r="A486" s="35"/>
      <c r="F486" s="34"/>
    </row>
    <row r="487" spans="1:6" x14ac:dyDescent="0.25">
      <c r="A487" s="35"/>
      <c r="F487" s="34"/>
    </row>
    <row r="488" spans="1:6" x14ac:dyDescent="0.25">
      <c r="A488" s="35"/>
      <c r="F488" s="34"/>
    </row>
    <row r="489" spans="1:6" x14ac:dyDescent="0.25">
      <c r="A489" s="35"/>
      <c r="F489" s="34"/>
    </row>
    <row r="490" spans="1:6" x14ac:dyDescent="0.25">
      <c r="A490" s="35"/>
      <c r="F490" s="34"/>
    </row>
    <row r="491" spans="1:6" x14ac:dyDescent="0.25">
      <c r="A491" s="35"/>
      <c r="F491" s="34"/>
    </row>
    <row r="492" spans="1:6" x14ac:dyDescent="0.25">
      <c r="A492" s="35"/>
      <c r="F492" s="34"/>
    </row>
    <row r="493" spans="1:6" x14ac:dyDescent="0.25">
      <c r="A493" s="35"/>
      <c r="F493" s="34"/>
    </row>
    <row r="494" spans="1:6" x14ac:dyDescent="0.25">
      <c r="A494" s="35"/>
      <c r="F494" s="34"/>
    </row>
    <row r="495" spans="1:6" x14ac:dyDescent="0.25">
      <c r="A495" s="35"/>
      <c r="F495" s="34"/>
    </row>
    <row r="496" spans="1:6" x14ac:dyDescent="0.25">
      <c r="A496" s="35"/>
      <c r="F496" s="34"/>
    </row>
    <row r="497" spans="1:6" x14ac:dyDescent="0.25">
      <c r="A497" s="35"/>
      <c r="F497" s="34"/>
    </row>
    <row r="498" spans="1:6" x14ac:dyDescent="0.25">
      <c r="A498" s="35"/>
      <c r="F498" s="34"/>
    </row>
    <row r="499" spans="1:6" x14ac:dyDescent="0.25">
      <c r="A499" s="35"/>
      <c r="F499" s="34"/>
    </row>
    <row r="500" spans="1:6" x14ac:dyDescent="0.25">
      <c r="A500" s="35"/>
      <c r="F500" s="34"/>
    </row>
    <row r="501" spans="1:6" x14ac:dyDescent="0.25">
      <c r="A501" s="35"/>
      <c r="F501" s="34"/>
    </row>
    <row r="502" spans="1:6" x14ac:dyDescent="0.25">
      <c r="A502" s="35"/>
      <c r="F502" s="34"/>
    </row>
    <row r="503" spans="1:6" x14ac:dyDescent="0.25">
      <c r="A503" s="35"/>
      <c r="F503" s="34"/>
    </row>
    <row r="504" spans="1:6" x14ac:dyDescent="0.25">
      <c r="A504" s="35"/>
      <c r="F504" s="34"/>
    </row>
    <row r="505" spans="1:6" x14ac:dyDescent="0.25">
      <c r="A505" s="35"/>
      <c r="F505" s="34"/>
    </row>
    <row r="506" spans="1:6" x14ac:dyDescent="0.25">
      <c r="A506" s="35"/>
      <c r="F506" s="34"/>
    </row>
    <row r="507" spans="1:6" x14ac:dyDescent="0.25">
      <c r="A507" s="35"/>
      <c r="F507" s="34"/>
    </row>
    <row r="508" spans="1:6" x14ac:dyDescent="0.25">
      <c r="A508" s="35"/>
      <c r="F508" s="34"/>
    </row>
    <row r="509" spans="1:6" x14ac:dyDescent="0.25">
      <c r="A509" s="35"/>
      <c r="F509" s="34"/>
    </row>
    <row r="510" spans="1:6" x14ac:dyDescent="0.25">
      <c r="A510" s="35"/>
      <c r="F510" s="34"/>
    </row>
    <row r="511" spans="1:6" x14ac:dyDescent="0.25">
      <c r="A511" s="35"/>
      <c r="F511" s="34"/>
    </row>
    <row r="512" spans="1:6" x14ac:dyDescent="0.25">
      <c r="A512" s="35"/>
      <c r="F512" s="34"/>
    </row>
    <row r="513" spans="1:6" x14ac:dyDescent="0.25">
      <c r="A513" s="35"/>
      <c r="F513" s="34"/>
    </row>
    <row r="514" spans="1:6" x14ac:dyDescent="0.25">
      <c r="A514" s="35"/>
      <c r="F514" s="34"/>
    </row>
    <row r="515" spans="1:6" x14ac:dyDescent="0.25">
      <c r="A515" s="35"/>
      <c r="F515" s="34"/>
    </row>
    <row r="516" spans="1:6" x14ac:dyDescent="0.25">
      <c r="A516" s="35"/>
      <c r="F516" s="34"/>
    </row>
    <row r="517" spans="1:6" x14ac:dyDescent="0.25">
      <c r="A517" s="35"/>
      <c r="F517" s="34"/>
    </row>
    <row r="518" spans="1:6" x14ac:dyDescent="0.25">
      <c r="A518" s="35"/>
      <c r="F518" s="34"/>
    </row>
    <row r="519" spans="1:6" x14ac:dyDescent="0.25">
      <c r="A519" s="35"/>
      <c r="F519" s="34"/>
    </row>
    <row r="520" spans="1:6" x14ac:dyDescent="0.25">
      <c r="A520" s="35"/>
      <c r="F520" s="34"/>
    </row>
    <row r="521" spans="1:6" x14ac:dyDescent="0.25">
      <c r="A521" s="35"/>
      <c r="F521" s="34"/>
    </row>
    <row r="522" spans="1:6" x14ac:dyDescent="0.25">
      <c r="A522" s="35"/>
      <c r="F522" s="34"/>
    </row>
    <row r="523" spans="1:6" x14ac:dyDescent="0.25">
      <c r="A523" s="35"/>
      <c r="F523" s="34"/>
    </row>
    <row r="524" spans="1:6" x14ac:dyDescent="0.25">
      <c r="A524" s="35"/>
      <c r="F524" s="34"/>
    </row>
    <row r="525" spans="1:6" x14ac:dyDescent="0.25">
      <c r="A525" s="35"/>
      <c r="F525" s="34"/>
    </row>
    <row r="526" spans="1:6" x14ac:dyDescent="0.25">
      <c r="A526" s="35"/>
      <c r="F526" s="34"/>
    </row>
    <row r="527" spans="1:6" x14ac:dyDescent="0.25">
      <c r="A527" s="35"/>
      <c r="F527" s="34"/>
    </row>
    <row r="528" spans="1:6" x14ac:dyDescent="0.25">
      <c r="A528" s="35"/>
      <c r="F528" s="34"/>
    </row>
    <row r="529" spans="1:6" x14ac:dyDescent="0.25">
      <c r="A529" s="35"/>
      <c r="F529" s="34"/>
    </row>
    <row r="530" spans="1:6" x14ac:dyDescent="0.25">
      <c r="A530" s="35"/>
      <c r="F530" s="34"/>
    </row>
    <row r="531" spans="1:6" x14ac:dyDescent="0.25">
      <c r="A531" s="35"/>
      <c r="F531" s="34"/>
    </row>
    <row r="532" spans="1:6" x14ac:dyDescent="0.25">
      <c r="A532" s="35"/>
      <c r="F532" s="34"/>
    </row>
    <row r="533" spans="1:6" x14ac:dyDescent="0.25">
      <c r="A533" s="35"/>
      <c r="F533" s="34"/>
    </row>
    <row r="534" spans="1:6" x14ac:dyDescent="0.25">
      <c r="A534" s="35"/>
      <c r="F534" s="34"/>
    </row>
    <row r="535" spans="1:6" x14ac:dyDescent="0.25">
      <c r="A535" s="35"/>
      <c r="F535" s="34"/>
    </row>
    <row r="536" spans="1:6" x14ac:dyDescent="0.25">
      <c r="A536" s="35"/>
      <c r="F536" s="34"/>
    </row>
    <row r="537" spans="1:6" x14ac:dyDescent="0.25">
      <c r="A537" s="35"/>
      <c r="F537" s="34"/>
    </row>
    <row r="538" spans="1:6" x14ac:dyDescent="0.25">
      <c r="A538" s="35"/>
      <c r="F538" s="34"/>
    </row>
    <row r="539" spans="1:6" x14ac:dyDescent="0.25">
      <c r="A539" s="35"/>
      <c r="F539" s="34"/>
    </row>
    <row r="540" spans="1:6" x14ac:dyDescent="0.25">
      <c r="A540" s="35"/>
      <c r="F540" s="34"/>
    </row>
    <row r="541" spans="1:6" x14ac:dyDescent="0.25">
      <c r="A541" s="35"/>
      <c r="F541" s="34"/>
    </row>
    <row r="542" spans="1:6" x14ac:dyDescent="0.25">
      <c r="A542" s="35"/>
      <c r="F542" s="34"/>
    </row>
    <row r="543" spans="1:6" x14ac:dyDescent="0.25">
      <c r="A543" s="35"/>
      <c r="F543" s="34"/>
    </row>
    <row r="544" spans="1:6" x14ac:dyDescent="0.25">
      <c r="A544" s="35"/>
      <c r="F544" s="34"/>
    </row>
    <row r="545" spans="1:6" x14ac:dyDescent="0.25">
      <c r="A545" s="35"/>
      <c r="F545" s="34"/>
    </row>
    <row r="546" spans="1:6" x14ac:dyDescent="0.25">
      <c r="A546" s="35"/>
      <c r="F546" s="34"/>
    </row>
    <row r="547" spans="1:6" x14ac:dyDescent="0.25">
      <c r="A547" s="35"/>
      <c r="F547" s="34"/>
    </row>
    <row r="548" spans="1:6" x14ac:dyDescent="0.25">
      <c r="A548" s="35"/>
      <c r="F548" s="34"/>
    </row>
    <row r="549" spans="1:6" x14ac:dyDescent="0.25">
      <c r="A549" s="35"/>
      <c r="F549" s="34"/>
    </row>
    <row r="550" spans="1:6" x14ac:dyDescent="0.25">
      <c r="A550" s="35"/>
      <c r="F550" s="34"/>
    </row>
    <row r="551" spans="1:6" x14ac:dyDescent="0.25">
      <c r="A551" s="35"/>
      <c r="F551" s="34"/>
    </row>
    <row r="552" spans="1:6" x14ac:dyDescent="0.25">
      <c r="A552" s="35"/>
      <c r="F552" s="34"/>
    </row>
    <row r="553" spans="1:6" x14ac:dyDescent="0.25">
      <c r="A553" s="35"/>
      <c r="F553" s="34"/>
    </row>
    <row r="554" spans="1:6" x14ac:dyDescent="0.25">
      <c r="A554" s="35"/>
      <c r="F554" s="34"/>
    </row>
    <row r="555" spans="1:6" x14ac:dyDescent="0.25">
      <c r="A555" s="35"/>
      <c r="F555" s="34"/>
    </row>
    <row r="556" spans="1:6" x14ac:dyDescent="0.25">
      <c r="A556" s="35"/>
      <c r="F556" s="34"/>
    </row>
    <row r="557" spans="1:6" x14ac:dyDescent="0.25">
      <c r="A557" s="35"/>
      <c r="F557" s="34"/>
    </row>
    <row r="558" spans="1:6" x14ac:dyDescent="0.25">
      <c r="A558" s="35"/>
      <c r="F558" s="34"/>
    </row>
    <row r="559" spans="1:6" x14ac:dyDescent="0.25">
      <c r="A559" s="35"/>
      <c r="F559" s="34"/>
    </row>
    <row r="560" spans="1:6" x14ac:dyDescent="0.25">
      <c r="A560" s="35"/>
      <c r="F560" s="34"/>
    </row>
    <row r="561" spans="1:6" x14ac:dyDescent="0.25">
      <c r="A561" s="35"/>
      <c r="F561" s="34"/>
    </row>
    <row r="562" spans="1:6" x14ac:dyDescent="0.25">
      <c r="A562" s="35"/>
      <c r="F562" s="34"/>
    </row>
    <row r="563" spans="1:6" x14ac:dyDescent="0.25">
      <c r="A563" s="35"/>
      <c r="F563" s="34"/>
    </row>
    <row r="564" spans="1:6" x14ac:dyDescent="0.25">
      <c r="A564" s="35"/>
      <c r="F564" s="34"/>
    </row>
    <row r="565" spans="1:6" x14ac:dyDescent="0.25">
      <c r="A565" s="35"/>
      <c r="F565" s="34"/>
    </row>
    <row r="566" spans="1:6" x14ac:dyDescent="0.25">
      <c r="A566" s="35"/>
      <c r="F566" s="34"/>
    </row>
    <row r="567" spans="1:6" x14ac:dyDescent="0.25">
      <c r="A567" s="35"/>
      <c r="F567" s="34"/>
    </row>
    <row r="568" spans="1:6" x14ac:dyDescent="0.25">
      <c r="A568" s="35"/>
      <c r="F568" s="34"/>
    </row>
    <row r="569" spans="1:6" x14ac:dyDescent="0.25">
      <c r="A569" s="35"/>
      <c r="F569" s="34"/>
    </row>
    <row r="570" spans="1:6" x14ac:dyDescent="0.25">
      <c r="A570" s="35"/>
      <c r="F570" s="34"/>
    </row>
    <row r="571" spans="1:6" x14ac:dyDescent="0.25">
      <c r="A571" s="35"/>
      <c r="F571" s="34"/>
    </row>
    <row r="572" spans="1:6" x14ac:dyDescent="0.25">
      <c r="A572" s="35"/>
      <c r="F572" s="34"/>
    </row>
    <row r="573" spans="1:6" x14ac:dyDescent="0.25">
      <c r="A573" s="35"/>
      <c r="F573" s="34"/>
    </row>
    <row r="574" spans="1:6" x14ac:dyDescent="0.25">
      <c r="A574" s="35"/>
      <c r="F574" s="34"/>
    </row>
    <row r="575" spans="1:6" x14ac:dyDescent="0.25">
      <c r="A575" s="35"/>
      <c r="F575" s="34"/>
    </row>
    <row r="576" spans="1:6" x14ac:dyDescent="0.25">
      <c r="A576" s="35"/>
      <c r="F576" s="34"/>
    </row>
    <row r="577" spans="1:6" x14ac:dyDescent="0.25">
      <c r="A577" s="35"/>
      <c r="F577" s="34"/>
    </row>
    <row r="578" spans="1:6" x14ac:dyDescent="0.25">
      <c r="A578" s="35"/>
      <c r="F578" s="34"/>
    </row>
    <row r="579" spans="1:6" x14ac:dyDescent="0.25">
      <c r="A579" s="35"/>
      <c r="F579" s="34"/>
    </row>
    <row r="580" spans="1:6" x14ac:dyDescent="0.25">
      <c r="A580" s="35"/>
      <c r="F580" s="34"/>
    </row>
    <row r="581" spans="1:6" x14ac:dyDescent="0.25">
      <c r="A581" s="35"/>
      <c r="F581" s="34"/>
    </row>
    <row r="582" spans="1:6" x14ac:dyDescent="0.25">
      <c r="A582" s="35"/>
      <c r="F582" s="34"/>
    </row>
    <row r="583" spans="1:6" x14ac:dyDescent="0.25">
      <c r="A583" s="35"/>
      <c r="F583" s="34"/>
    </row>
    <row r="584" spans="1:6" x14ac:dyDescent="0.25">
      <c r="A584" s="35"/>
      <c r="F584" s="34"/>
    </row>
    <row r="585" spans="1:6" x14ac:dyDescent="0.25">
      <c r="A585" s="35"/>
      <c r="F585" s="34"/>
    </row>
    <row r="586" spans="1:6" x14ac:dyDescent="0.25">
      <c r="A586" s="35"/>
      <c r="F586" s="34"/>
    </row>
    <row r="587" spans="1:6" x14ac:dyDescent="0.25">
      <c r="A587" s="35"/>
      <c r="F587" s="34"/>
    </row>
    <row r="588" spans="1:6" x14ac:dyDescent="0.25">
      <c r="A588" s="35"/>
      <c r="F588" s="34"/>
    </row>
    <row r="589" spans="1:6" x14ac:dyDescent="0.25">
      <c r="A589" s="35"/>
      <c r="F589" s="34"/>
    </row>
    <row r="590" spans="1:6" x14ac:dyDescent="0.25">
      <c r="A590" s="35"/>
      <c r="F590" s="34"/>
    </row>
    <row r="591" spans="1:6" x14ac:dyDescent="0.25">
      <c r="A591" s="35"/>
      <c r="F591" s="34"/>
    </row>
    <row r="592" spans="1:6" x14ac:dyDescent="0.25">
      <c r="A592" s="35"/>
      <c r="F592" s="34"/>
    </row>
    <row r="593" spans="1:6" x14ac:dyDescent="0.25">
      <c r="A593" s="35"/>
      <c r="F593" s="34"/>
    </row>
    <row r="594" spans="1:6" x14ac:dyDescent="0.25">
      <c r="A594" s="35"/>
      <c r="F594" s="34"/>
    </row>
    <row r="595" spans="1:6" x14ac:dyDescent="0.25">
      <c r="A595" s="35"/>
      <c r="F595" s="34"/>
    </row>
    <row r="596" spans="1:6" x14ac:dyDescent="0.25">
      <c r="A596" s="35"/>
      <c r="F596" s="34"/>
    </row>
    <row r="597" spans="1:6" x14ac:dyDescent="0.25">
      <c r="A597" s="35"/>
      <c r="F597" s="34"/>
    </row>
    <row r="598" spans="1:6" x14ac:dyDescent="0.25">
      <c r="A598" s="35"/>
      <c r="F598" s="34"/>
    </row>
    <row r="599" spans="1:6" x14ac:dyDescent="0.25">
      <c r="A599" s="35"/>
      <c r="F599" s="34"/>
    </row>
    <row r="600" spans="1:6" x14ac:dyDescent="0.25">
      <c r="A600" s="35"/>
      <c r="F600" s="34"/>
    </row>
    <row r="601" spans="1:6" x14ac:dyDescent="0.25">
      <c r="A601" s="35"/>
      <c r="F601" s="34"/>
    </row>
    <row r="602" spans="1:6" x14ac:dyDescent="0.25">
      <c r="A602" s="35"/>
      <c r="F602" s="34"/>
    </row>
    <row r="603" spans="1:6" x14ac:dyDescent="0.25">
      <c r="A603" s="35"/>
      <c r="F603" s="34"/>
    </row>
    <row r="604" spans="1:6" x14ac:dyDescent="0.25">
      <c r="A604" s="35"/>
      <c r="F604" s="34"/>
    </row>
    <row r="605" spans="1:6" x14ac:dyDescent="0.25">
      <c r="A605" s="35"/>
      <c r="F605" s="34"/>
    </row>
    <row r="606" spans="1:6" x14ac:dyDescent="0.25">
      <c r="A606" s="35"/>
      <c r="F606" s="34"/>
    </row>
    <row r="607" spans="1:6" x14ac:dyDescent="0.25">
      <c r="A607" s="35"/>
      <c r="F607" s="34"/>
    </row>
    <row r="608" spans="1:6" x14ac:dyDescent="0.25">
      <c r="A608" s="35"/>
      <c r="F608" s="34"/>
    </row>
    <row r="609" spans="1:6" x14ac:dyDescent="0.25">
      <c r="A609" s="35"/>
      <c r="F609" s="34"/>
    </row>
    <row r="610" spans="1:6" x14ac:dyDescent="0.25">
      <c r="A610" s="35"/>
      <c r="F610" s="34"/>
    </row>
    <row r="611" spans="1:6" x14ac:dyDescent="0.25">
      <c r="A611" s="35"/>
      <c r="F611" s="34"/>
    </row>
    <row r="612" spans="1:6" x14ac:dyDescent="0.25">
      <c r="A612" s="35"/>
      <c r="F612" s="34"/>
    </row>
    <row r="613" spans="1:6" x14ac:dyDescent="0.25">
      <c r="A613" s="35"/>
      <c r="F613" s="34"/>
    </row>
    <row r="614" spans="1:6" x14ac:dyDescent="0.25">
      <c r="A614" s="35"/>
      <c r="F614" s="34"/>
    </row>
    <row r="615" spans="1:6" x14ac:dyDescent="0.25">
      <c r="A615" s="35"/>
      <c r="F615" s="34"/>
    </row>
    <row r="616" spans="1:6" x14ac:dyDescent="0.25">
      <c r="A616" s="35"/>
      <c r="F616" s="34"/>
    </row>
    <row r="617" spans="1:6" x14ac:dyDescent="0.25">
      <c r="A617" s="35"/>
      <c r="F617" s="34"/>
    </row>
    <row r="618" spans="1:6" x14ac:dyDescent="0.25">
      <c r="A618" s="35"/>
      <c r="F618" s="34"/>
    </row>
    <row r="619" spans="1:6" x14ac:dyDescent="0.25">
      <c r="A619" s="35"/>
      <c r="F619" s="34"/>
    </row>
    <row r="620" spans="1:6" x14ac:dyDescent="0.25">
      <c r="A620" s="35"/>
      <c r="F620" s="34"/>
    </row>
    <row r="621" spans="1:6" x14ac:dyDescent="0.25">
      <c r="A621" s="35"/>
      <c r="F621" s="34"/>
    </row>
    <row r="622" spans="1:6" x14ac:dyDescent="0.25">
      <c r="A622" s="35"/>
      <c r="F622" s="34"/>
    </row>
    <row r="623" spans="1:6" x14ac:dyDescent="0.25">
      <c r="A623" s="35"/>
      <c r="F623" s="34"/>
    </row>
    <row r="624" spans="1:6" x14ac:dyDescent="0.25">
      <c r="A624" s="35"/>
      <c r="F624" s="34"/>
    </row>
    <row r="625" spans="1:6" x14ac:dyDescent="0.25">
      <c r="A625" s="35"/>
      <c r="F625" s="34"/>
    </row>
    <row r="626" spans="1:6" x14ac:dyDescent="0.25">
      <c r="A626" s="35"/>
      <c r="F626" s="34"/>
    </row>
    <row r="627" spans="1:6" x14ac:dyDescent="0.25">
      <c r="A627" s="35"/>
      <c r="F627" s="34"/>
    </row>
    <row r="628" spans="1:6" x14ac:dyDescent="0.25">
      <c r="A628" s="35"/>
      <c r="F628" s="34"/>
    </row>
    <row r="629" spans="1:6" x14ac:dyDescent="0.25">
      <c r="A629" s="35"/>
      <c r="F629" s="34"/>
    </row>
    <row r="630" spans="1:6" x14ac:dyDescent="0.25">
      <c r="A630" s="35"/>
      <c r="F630" s="34"/>
    </row>
    <row r="631" spans="1:6" x14ac:dyDescent="0.25">
      <c r="A631" s="35"/>
      <c r="F631" s="34"/>
    </row>
    <row r="632" spans="1:6" x14ac:dyDescent="0.25">
      <c r="A632" s="35"/>
      <c r="F632" s="34"/>
    </row>
    <row r="633" spans="1:6" x14ac:dyDescent="0.25">
      <c r="A633" s="35"/>
      <c r="F633" s="34"/>
    </row>
    <row r="634" spans="1:6" x14ac:dyDescent="0.25">
      <c r="A634" s="35"/>
      <c r="F634" s="34"/>
    </row>
    <row r="635" spans="1:6" x14ac:dyDescent="0.25">
      <c r="A635" s="35"/>
      <c r="F635" s="34"/>
    </row>
    <row r="636" spans="1:6" x14ac:dyDescent="0.25">
      <c r="A636" s="35"/>
      <c r="F636" s="34"/>
    </row>
    <row r="637" spans="1:6" x14ac:dyDescent="0.25">
      <c r="A637" s="35"/>
      <c r="F637" s="34"/>
    </row>
    <row r="638" spans="1:6" x14ac:dyDescent="0.25">
      <c r="A638" s="35"/>
      <c r="F638" s="34"/>
    </row>
    <row r="639" spans="1:6" x14ac:dyDescent="0.25">
      <c r="A639" s="35"/>
      <c r="F639" s="34"/>
    </row>
    <row r="640" spans="1:6" x14ac:dyDescent="0.25">
      <c r="A640" s="35"/>
      <c r="F640" s="34"/>
    </row>
    <row r="641" spans="1:6" x14ac:dyDescent="0.25">
      <c r="A641" s="35"/>
      <c r="F641" s="34"/>
    </row>
    <row r="642" spans="1:6" x14ac:dyDescent="0.25">
      <c r="A642" s="35"/>
      <c r="F642" s="34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A1:I2521"/>
  <sheetViews>
    <sheetView zoomScale="170" zoomScaleNormal="170" workbookViewId="0">
      <selection activeCell="A5" sqref="A5"/>
    </sheetView>
  </sheetViews>
  <sheetFormatPr defaultColWidth="8.85546875" defaultRowHeight="15.75" x14ac:dyDescent="0.25"/>
  <cols>
    <col min="1" max="1" width="10.5703125" style="59" bestFit="1" customWidth="1"/>
    <col min="2" max="2" width="10.28515625" style="59" customWidth="1"/>
    <col min="3" max="3" width="27.28515625" style="59" bestFit="1" customWidth="1"/>
    <col min="4" max="5" width="9.42578125" style="59" customWidth="1"/>
    <col min="6" max="6" width="12.42578125" style="59" customWidth="1"/>
    <col min="7" max="7" width="12.5703125" style="60" bestFit="1" customWidth="1"/>
    <col min="8" max="8" width="12.85546875" style="60" customWidth="1"/>
    <col min="9" max="9" width="10" style="59" bestFit="1" customWidth="1"/>
    <col min="10" max="16384" width="8.85546875" style="59"/>
  </cols>
  <sheetData>
    <row r="1" spans="1:8" ht="25.5" x14ac:dyDescent="0.35">
      <c r="B1" s="59">
        <v>35</v>
      </c>
      <c r="C1" s="52" t="s">
        <v>36</v>
      </c>
      <c r="F1" s="59">
        <f>SUM(F4:F489)</f>
        <v>0</v>
      </c>
      <c r="G1" s="60">
        <f>SUM(G4:G1048576)</f>
        <v>0</v>
      </c>
      <c r="H1" s="60">
        <f>F1-G1</f>
        <v>0</v>
      </c>
    </row>
    <row r="3" spans="1:8" x14ac:dyDescent="0.25">
      <c r="A3" s="59" t="s">
        <v>21</v>
      </c>
      <c r="B3" s="59" t="s">
        <v>32</v>
      </c>
      <c r="C3" s="59" t="s">
        <v>26</v>
      </c>
      <c r="D3" s="59" t="s">
        <v>3</v>
      </c>
      <c r="E3" s="59" t="s">
        <v>193</v>
      </c>
      <c r="F3" s="59" t="s">
        <v>24</v>
      </c>
      <c r="G3" s="60" t="s">
        <v>25</v>
      </c>
      <c r="H3" s="60" t="s">
        <v>6</v>
      </c>
    </row>
    <row r="6" spans="1:8" x14ac:dyDescent="0.25">
      <c r="A6" s="61"/>
    </row>
    <row r="7" spans="1:8" x14ac:dyDescent="0.25">
      <c r="A7" s="61"/>
    </row>
    <row r="8" spans="1:8" x14ac:dyDescent="0.25">
      <c r="A8" s="61"/>
    </row>
    <row r="9" spans="1:8" x14ac:dyDescent="0.25">
      <c r="A9" s="61"/>
    </row>
    <row r="10" spans="1:8" x14ac:dyDescent="0.25">
      <c r="A10" s="61"/>
    </row>
    <row r="11" spans="1:8" x14ac:dyDescent="0.25">
      <c r="A11" s="61"/>
    </row>
    <row r="12" spans="1:8" x14ac:dyDescent="0.25">
      <c r="A12" s="61"/>
    </row>
    <row r="13" spans="1:8" x14ac:dyDescent="0.25">
      <c r="A13" s="61"/>
    </row>
    <row r="14" spans="1:8" x14ac:dyDescent="0.25">
      <c r="A14" s="61"/>
    </row>
    <row r="15" spans="1:8" x14ac:dyDescent="0.25">
      <c r="A15" s="61"/>
      <c r="C15" s="64"/>
    </row>
    <row r="16" spans="1:8" x14ac:dyDescent="0.25">
      <c r="A16" s="61"/>
    </row>
    <row r="17" spans="1:9" ht="15.75" customHeight="1" x14ac:dyDescent="0.25">
      <c r="A17" s="61"/>
      <c r="I17" s="59" t="s">
        <v>178</v>
      </c>
    </row>
    <row r="18" spans="1:9" ht="16.5" customHeight="1" x14ac:dyDescent="0.25">
      <c r="A18" s="61"/>
    </row>
    <row r="19" spans="1:9" x14ac:dyDescent="0.25">
      <c r="A19" s="61"/>
    </row>
    <row r="20" spans="1:9" x14ac:dyDescent="0.25">
      <c r="A20" s="61"/>
      <c r="D20" s="33"/>
      <c r="I20" s="59" t="s">
        <v>197</v>
      </c>
    </row>
    <row r="21" spans="1:9" x14ac:dyDescent="0.25">
      <c r="A21" s="61"/>
      <c r="C21" s="65"/>
    </row>
    <row r="22" spans="1:9" x14ac:dyDescent="0.25">
      <c r="A22" s="61"/>
    </row>
    <row r="23" spans="1:9" x14ac:dyDescent="0.25">
      <c r="A23" s="61"/>
    </row>
    <row r="24" spans="1:9" x14ac:dyDescent="0.25">
      <c r="A24" s="61"/>
    </row>
    <row r="25" spans="1:9" x14ac:dyDescent="0.25">
      <c r="A25" s="61"/>
    </row>
    <row r="26" spans="1:9" x14ac:dyDescent="0.25">
      <c r="A26" s="61"/>
    </row>
    <row r="27" spans="1:9" x14ac:dyDescent="0.25">
      <c r="A27" s="61"/>
    </row>
    <row r="28" spans="1:9" x14ac:dyDescent="0.25">
      <c r="A28" s="61"/>
    </row>
    <row r="29" spans="1:9" x14ac:dyDescent="0.25">
      <c r="A29" s="61"/>
    </row>
    <row r="30" spans="1:9" x14ac:dyDescent="0.25">
      <c r="A30" s="61"/>
    </row>
    <row r="31" spans="1:9" x14ac:dyDescent="0.25">
      <c r="A31" s="61"/>
    </row>
    <row r="32" spans="1:9" x14ac:dyDescent="0.25">
      <c r="A32" s="61"/>
    </row>
    <row r="33" spans="1:9" x14ac:dyDescent="0.25">
      <c r="A33" s="35"/>
    </row>
    <row r="34" spans="1:9" x14ac:dyDescent="0.25">
      <c r="A34" s="61"/>
    </row>
    <row r="35" spans="1:9" x14ac:dyDescent="0.25">
      <c r="A35" s="61"/>
    </row>
    <row r="36" spans="1:9" x14ac:dyDescent="0.25">
      <c r="A36" s="61"/>
    </row>
    <row r="37" spans="1:9" x14ac:dyDescent="0.25">
      <c r="A37" s="61"/>
    </row>
    <row r="38" spans="1:9" x14ac:dyDescent="0.25">
      <c r="A38" s="61"/>
    </row>
    <row r="39" spans="1:9" x14ac:dyDescent="0.25">
      <c r="A39" s="61"/>
    </row>
    <row r="40" spans="1:9" x14ac:dyDescent="0.25">
      <c r="A40" s="61"/>
    </row>
    <row r="41" spans="1:9" x14ac:dyDescent="0.25">
      <c r="A41" s="61"/>
    </row>
    <row r="42" spans="1:9" x14ac:dyDescent="0.25">
      <c r="A42" s="61"/>
    </row>
    <row r="43" spans="1:9" x14ac:dyDescent="0.25">
      <c r="A43" s="61"/>
    </row>
    <row r="44" spans="1:9" x14ac:dyDescent="0.25">
      <c r="A44" s="61"/>
    </row>
    <row r="45" spans="1:9" x14ac:dyDescent="0.25">
      <c r="A45" s="61"/>
    </row>
    <row r="46" spans="1:9" x14ac:dyDescent="0.25">
      <c r="A46" s="61"/>
    </row>
    <row r="47" spans="1:9" x14ac:dyDescent="0.25">
      <c r="A47" s="61"/>
      <c r="I47" s="59" t="s">
        <v>197</v>
      </c>
    </row>
    <row r="48" spans="1:9" x14ac:dyDescent="0.25">
      <c r="A48" s="61"/>
    </row>
    <row r="49" spans="1:1" x14ac:dyDescent="0.25">
      <c r="A49" s="61"/>
    </row>
    <row r="50" spans="1:1" x14ac:dyDescent="0.25">
      <c r="A50" s="61"/>
    </row>
    <row r="51" spans="1:1" x14ac:dyDescent="0.25">
      <c r="A51" s="61"/>
    </row>
    <row r="52" spans="1:1" x14ac:dyDescent="0.25">
      <c r="A52" s="61"/>
    </row>
    <row r="53" spans="1:1" x14ac:dyDescent="0.25">
      <c r="A53" s="61"/>
    </row>
    <row r="54" spans="1:1" x14ac:dyDescent="0.25">
      <c r="A54" s="61"/>
    </row>
    <row r="55" spans="1:1" x14ac:dyDescent="0.25">
      <c r="A55" s="61"/>
    </row>
    <row r="56" spans="1:1" x14ac:dyDescent="0.25">
      <c r="A56" s="61"/>
    </row>
    <row r="57" spans="1:1" x14ac:dyDescent="0.25">
      <c r="A57" s="61"/>
    </row>
    <row r="58" spans="1:1" x14ac:dyDescent="0.25">
      <c r="A58" s="61"/>
    </row>
    <row r="59" spans="1:1" x14ac:dyDescent="0.25">
      <c r="A59" s="61"/>
    </row>
    <row r="60" spans="1:1" x14ac:dyDescent="0.25">
      <c r="A60" s="61"/>
    </row>
    <row r="61" spans="1:1" hidden="1" x14ac:dyDescent="0.25">
      <c r="A61" s="61"/>
    </row>
    <row r="62" spans="1:1" hidden="1" x14ac:dyDescent="0.25">
      <c r="A62" s="61"/>
    </row>
    <row r="63" spans="1:1" x14ac:dyDescent="0.25">
      <c r="A63" s="61"/>
    </row>
    <row r="64" spans="1:1" x14ac:dyDescent="0.25">
      <c r="A64" s="61"/>
    </row>
    <row r="65" spans="1:9" x14ac:dyDescent="0.25">
      <c r="A65" s="61"/>
    </row>
    <row r="66" spans="1:9" x14ac:dyDescent="0.25">
      <c r="A66" s="61"/>
    </row>
    <row r="67" spans="1:9" ht="15.75" customHeight="1" x14ac:dyDescent="0.25">
      <c r="A67" s="61"/>
    </row>
    <row r="68" spans="1:9" x14ac:dyDescent="0.25">
      <c r="A68" s="61"/>
    </row>
    <row r="69" spans="1:9" x14ac:dyDescent="0.25">
      <c r="A69" s="61"/>
    </row>
    <row r="70" spans="1:9" x14ac:dyDescent="0.25">
      <c r="A70" s="61"/>
    </row>
    <row r="71" spans="1:9" x14ac:dyDescent="0.25">
      <c r="A71" s="61"/>
    </row>
    <row r="72" spans="1:9" x14ac:dyDescent="0.25">
      <c r="A72" s="61"/>
    </row>
    <row r="73" spans="1:9" x14ac:dyDescent="0.25">
      <c r="A73" s="61"/>
      <c r="I73" s="59" t="s">
        <v>197</v>
      </c>
    </row>
    <row r="74" spans="1:9" x14ac:dyDescent="0.25">
      <c r="A74" s="61"/>
    </row>
    <row r="75" spans="1:9" x14ac:dyDescent="0.25">
      <c r="A75" s="61"/>
    </row>
    <row r="76" spans="1:9" x14ac:dyDescent="0.25">
      <c r="A76" s="61"/>
    </row>
    <row r="77" spans="1:9" x14ac:dyDescent="0.25">
      <c r="A77" s="61"/>
    </row>
    <row r="78" spans="1:9" x14ac:dyDescent="0.25">
      <c r="A78" s="61"/>
    </row>
    <row r="79" spans="1:9" x14ac:dyDescent="0.25">
      <c r="A79" s="61"/>
    </row>
    <row r="80" spans="1:9" x14ac:dyDescent="0.25">
      <c r="A80" s="61"/>
    </row>
    <row r="81" spans="1:1" x14ac:dyDescent="0.25">
      <c r="A81" s="61"/>
    </row>
    <row r="82" spans="1:1" x14ac:dyDescent="0.25">
      <c r="A82" s="61"/>
    </row>
    <row r="83" spans="1:1" x14ac:dyDescent="0.25">
      <c r="A83" s="61"/>
    </row>
    <row r="84" spans="1:1" x14ac:dyDescent="0.25">
      <c r="A84" s="61"/>
    </row>
    <row r="85" spans="1:1" x14ac:dyDescent="0.25">
      <c r="A85" s="61"/>
    </row>
    <row r="86" spans="1:1" x14ac:dyDescent="0.25">
      <c r="A86" s="61"/>
    </row>
    <row r="87" spans="1:1" x14ac:dyDescent="0.25">
      <c r="A87" s="61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  <row r="367" spans="1:1" x14ac:dyDescent="0.25">
      <c r="A367" s="35"/>
    </row>
    <row r="368" spans="1:1" x14ac:dyDescent="0.25">
      <c r="A368" s="35"/>
    </row>
    <row r="369" spans="1:1" x14ac:dyDescent="0.25">
      <c r="A369" s="35"/>
    </row>
    <row r="370" spans="1:1" x14ac:dyDescent="0.25">
      <c r="A370" s="35"/>
    </row>
    <row r="371" spans="1:1" x14ac:dyDescent="0.25">
      <c r="A371" s="35"/>
    </row>
    <row r="372" spans="1:1" x14ac:dyDescent="0.25">
      <c r="A372" s="35"/>
    </row>
    <row r="373" spans="1:1" x14ac:dyDescent="0.25">
      <c r="A373" s="35"/>
    </row>
    <row r="374" spans="1:1" x14ac:dyDescent="0.25">
      <c r="A374" s="35"/>
    </row>
    <row r="375" spans="1:1" x14ac:dyDescent="0.25">
      <c r="A375" s="35"/>
    </row>
    <row r="376" spans="1:1" x14ac:dyDescent="0.25">
      <c r="A376" s="35"/>
    </row>
    <row r="377" spans="1:1" x14ac:dyDescent="0.25">
      <c r="A377" s="35"/>
    </row>
    <row r="378" spans="1:1" x14ac:dyDescent="0.25">
      <c r="A378" s="35"/>
    </row>
    <row r="379" spans="1:1" x14ac:dyDescent="0.25">
      <c r="A379" s="35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" x14ac:dyDescent="0.25">
      <c r="A385" s="35"/>
    </row>
    <row r="386" spans="1:1" x14ac:dyDescent="0.25">
      <c r="A386" s="35"/>
    </row>
    <row r="387" spans="1:1" x14ac:dyDescent="0.25">
      <c r="A387" s="35"/>
    </row>
    <row r="388" spans="1:1" x14ac:dyDescent="0.25">
      <c r="A388" s="35"/>
    </row>
    <row r="389" spans="1:1" x14ac:dyDescent="0.25">
      <c r="A389" s="35"/>
    </row>
    <row r="390" spans="1:1" x14ac:dyDescent="0.25">
      <c r="A390" s="35"/>
    </row>
    <row r="391" spans="1:1" x14ac:dyDescent="0.25">
      <c r="A391" s="35"/>
    </row>
    <row r="392" spans="1:1" x14ac:dyDescent="0.25">
      <c r="A392" s="35"/>
    </row>
    <row r="393" spans="1:1" x14ac:dyDescent="0.25">
      <c r="A393" s="35"/>
    </row>
    <row r="394" spans="1:1" x14ac:dyDescent="0.25">
      <c r="A394" s="35"/>
    </row>
    <row r="395" spans="1:1" x14ac:dyDescent="0.25">
      <c r="A395" s="35"/>
    </row>
    <row r="396" spans="1:1" x14ac:dyDescent="0.25">
      <c r="A396" s="35"/>
    </row>
    <row r="397" spans="1:1" x14ac:dyDescent="0.25">
      <c r="A397" s="35"/>
    </row>
    <row r="398" spans="1:1" x14ac:dyDescent="0.25">
      <c r="A398" s="35"/>
    </row>
    <row r="399" spans="1:1" x14ac:dyDescent="0.25">
      <c r="A399" s="35"/>
    </row>
    <row r="400" spans="1:1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  <row r="596" spans="1:1" x14ac:dyDescent="0.25">
      <c r="A596" s="35"/>
    </row>
    <row r="597" spans="1:1" x14ac:dyDescent="0.25">
      <c r="A597" s="35"/>
    </row>
    <row r="598" spans="1:1" x14ac:dyDescent="0.25">
      <c r="A598" s="35"/>
    </row>
    <row r="599" spans="1:1" x14ac:dyDescent="0.25">
      <c r="A599" s="35"/>
    </row>
    <row r="600" spans="1:1" x14ac:dyDescent="0.25">
      <c r="A600" s="35"/>
    </row>
    <row r="601" spans="1:1" x14ac:dyDescent="0.25">
      <c r="A601" s="35"/>
    </row>
    <row r="602" spans="1:1" x14ac:dyDescent="0.25">
      <c r="A602" s="35"/>
    </row>
    <row r="603" spans="1:1" x14ac:dyDescent="0.25">
      <c r="A603" s="35"/>
    </row>
    <row r="604" spans="1:1" x14ac:dyDescent="0.25">
      <c r="A604" s="35"/>
    </row>
    <row r="605" spans="1:1" x14ac:dyDescent="0.25">
      <c r="A605" s="35"/>
    </row>
    <row r="606" spans="1:1" x14ac:dyDescent="0.25">
      <c r="A606" s="35"/>
    </row>
    <row r="607" spans="1:1" x14ac:dyDescent="0.25">
      <c r="A607" s="35"/>
    </row>
    <row r="608" spans="1:1" x14ac:dyDescent="0.25">
      <c r="A608" s="35"/>
    </row>
    <row r="609" spans="1:1" x14ac:dyDescent="0.25">
      <c r="A609" s="35"/>
    </row>
    <row r="610" spans="1:1" x14ac:dyDescent="0.25">
      <c r="A610" s="35"/>
    </row>
    <row r="611" spans="1:1" x14ac:dyDescent="0.25">
      <c r="A611" s="35"/>
    </row>
    <row r="612" spans="1:1" x14ac:dyDescent="0.25">
      <c r="A612" s="35"/>
    </row>
    <row r="613" spans="1:1" x14ac:dyDescent="0.25">
      <c r="A613" s="35"/>
    </row>
    <row r="614" spans="1:1" x14ac:dyDescent="0.25">
      <c r="A614" s="35"/>
    </row>
    <row r="615" spans="1:1" x14ac:dyDescent="0.25">
      <c r="A615" s="35"/>
    </row>
    <row r="616" spans="1:1" x14ac:dyDescent="0.25">
      <c r="A616" s="35"/>
    </row>
    <row r="617" spans="1:1" x14ac:dyDescent="0.25">
      <c r="A617" s="35"/>
    </row>
    <row r="618" spans="1:1" x14ac:dyDescent="0.25">
      <c r="A618" s="35"/>
    </row>
    <row r="619" spans="1:1" x14ac:dyDescent="0.25">
      <c r="A619" s="35"/>
    </row>
    <row r="620" spans="1:1" x14ac:dyDescent="0.25">
      <c r="A620" s="35"/>
    </row>
    <row r="621" spans="1:1" x14ac:dyDescent="0.25">
      <c r="A621" s="35"/>
    </row>
    <row r="622" spans="1:1" x14ac:dyDescent="0.25">
      <c r="A622" s="35"/>
    </row>
    <row r="623" spans="1:1" x14ac:dyDescent="0.25">
      <c r="A623" s="35"/>
    </row>
    <row r="624" spans="1:1" x14ac:dyDescent="0.25">
      <c r="A624" s="35"/>
    </row>
    <row r="625" spans="1:1" x14ac:dyDescent="0.25">
      <c r="A625" s="35"/>
    </row>
    <row r="626" spans="1:1" x14ac:dyDescent="0.25">
      <c r="A626" s="35"/>
    </row>
    <row r="627" spans="1:1" x14ac:dyDescent="0.25">
      <c r="A627" s="35"/>
    </row>
    <row r="628" spans="1:1" x14ac:dyDescent="0.25">
      <c r="A628" s="35"/>
    </row>
    <row r="629" spans="1:1" x14ac:dyDescent="0.25">
      <c r="A629" s="35"/>
    </row>
    <row r="630" spans="1:1" x14ac:dyDescent="0.25">
      <c r="A630" s="35"/>
    </row>
    <row r="631" spans="1:1" x14ac:dyDescent="0.25">
      <c r="A631" s="35"/>
    </row>
    <row r="632" spans="1:1" x14ac:dyDescent="0.25">
      <c r="A632" s="35"/>
    </row>
    <row r="633" spans="1:1" x14ac:dyDescent="0.25">
      <c r="A633" s="35"/>
    </row>
    <row r="634" spans="1:1" x14ac:dyDescent="0.25">
      <c r="A634" s="35"/>
    </row>
    <row r="635" spans="1:1" x14ac:dyDescent="0.25">
      <c r="A635" s="35"/>
    </row>
    <row r="636" spans="1:1" x14ac:dyDescent="0.25">
      <c r="A636" s="35"/>
    </row>
    <row r="637" spans="1:1" x14ac:dyDescent="0.25">
      <c r="A637" s="35"/>
    </row>
    <row r="638" spans="1:1" x14ac:dyDescent="0.25">
      <c r="A638" s="35"/>
    </row>
    <row r="639" spans="1:1" x14ac:dyDescent="0.25">
      <c r="A639" s="35"/>
    </row>
    <row r="640" spans="1:1" x14ac:dyDescent="0.25">
      <c r="A640" s="35"/>
    </row>
    <row r="641" spans="1:1" x14ac:dyDescent="0.25">
      <c r="A641" s="35"/>
    </row>
    <row r="642" spans="1:1" x14ac:dyDescent="0.25">
      <c r="A642" s="35"/>
    </row>
    <row r="643" spans="1:1" x14ac:dyDescent="0.25">
      <c r="A643" s="35"/>
    </row>
    <row r="644" spans="1:1" x14ac:dyDescent="0.25">
      <c r="A644" s="35"/>
    </row>
    <row r="645" spans="1:1" x14ac:dyDescent="0.25">
      <c r="A645" s="35"/>
    </row>
    <row r="646" spans="1:1" x14ac:dyDescent="0.25">
      <c r="A646" s="35"/>
    </row>
    <row r="647" spans="1:1" x14ac:dyDescent="0.25">
      <c r="A647" s="35"/>
    </row>
    <row r="648" spans="1:1" x14ac:dyDescent="0.25">
      <c r="A648" s="35"/>
    </row>
    <row r="649" spans="1:1" x14ac:dyDescent="0.25">
      <c r="A649" s="35"/>
    </row>
    <row r="650" spans="1:1" x14ac:dyDescent="0.25">
      <c r="A650" s="35"/>
    </row>
    <row r="651" spans="1:1" x14ac:dyDescent="0.25">
      <c r="A651" s="35"/>
    </row>
    <row r="652" spans="1:1" x14ac:dyDescent="0.25">
      <c r="A652" s="35"/>
    </row>
    <row r="653" spans="1:1" x14ac:dyDescent="0.25">
      <c r="A653" s="35"/>
    </row>
    <row r="654" spans="1:1" x14ac:dyDescent="0.25">
      <c r="A654" s="35"/>
    </row>
    <row r="655" spans="1:1" x14ac:dyDescent="0.25">
      <c r="A655" s="35"/>
    </row>
    <row r="656" spans="1:1" x14ac:dyDescent="0.25">
      <c r="A656" s="35"/>
    </row>
    <row r="657" spans="1:1" x14ac:dyDescent="0.25">
      <c r="A657" s="35"/>
    </row>
    <row r="658" spans="1:1" x14ac:dyDescent="0.25">
      <c r="A658" s="35"/>
    </row>
    <row r="659" spans="1:1" x14ac:dyDescent="0.25">
      <c r="A659" s="35"/>
    </row>
    <row r="660" spans="1:1" x14ac:dyDescent="0.25">
      <c r="A660" s="35"/>
    </row>
    <row r="661" spans="1:1" x14ac:dyDescent="0.25">
      <c r="A661" s="35"/>
    </row>
    <row r="662" spans="1:1" x14ac:dyDescent="0.25">
      <c r="A662" s="35"/>
    </row>
    <row r="663" spans="1:1" x14ac:dyDescent="0.25">
      <c r="A663" s="35"/>
    </row>
    <row r="664" spans="1:1" x14ac:dyDescent="0.25">
      <c r="A664" s="35"/>
    </row>
    <row r="665" spans="1:1" x14ac:dyDescent="0.25">
      <c r="A665" s="35"/>
    </row>
    <row r="666" spans="1:1" x14ac:dyDescent="0.25">
      <c r="A666" s="35"/>
    </row>
    <row r="667" spans="1:1" x14ac:dyDescent="0.25">
      <c r="A667" s="35"/>
    </row>
    <row r="668" spans="1:1" x14ac:dyDescent="0.25">
      <c r="A668" s="35"/>
    </row>
    <row r="669" spans="1:1" x14ac:dyDescent="0.25">
      <c r="A669" s="35"/>
    </row>
    <row r="670" spans="1:1" x14ac:dyDescent="0.25">
      <c r="A670" s="35"/>
    </row>
    <row r="671" spans="1:1" x14ac:dyDescent="0.25">
      <c r="A671" s="35"/>
    </row>
    <row r="672" spans="1:1" x14ac:dyDescent="0.25">
      <c r="A672" s="35"/>
    </row>
    <row r="673" spans="1:1" x14ac:dyDescent="0.25">
      <c r="A673" s="35"/>
    </row>
    <row r="674" spans="1:1" x14ac:dyDescent="0.25">
      <c r="A674" s="35"/>
    </row>
    <row r="675" spans="1:1" x14ac:dyDescent="0.25">
      <c r="A675" s="35"/>
    </row>
    <row r="676" spans="1:1" x14ac:dyDescent="0.25">
      <c r="A676" s="35"/>
    </row>
    <row r="677" spans="1:1" x14ac:dyDescent="0.25">
      <c r="A677" s="35"/>
    </row>
    <row r="678" spans="1:1" x14ac:dyDescent="0.25">
      <c r="A678" s="35"/>
    </row>
    <row r="679" spans="1:1" x14ac:dyDescent="0.25">
      <c r="A679" s="35"/>
    </row>
    <row r="680" spans="1:1" x14ac:dyDescent="0.25">
      <c r="A680" s="35"/>
    </row>
    <row r="681" spans="1:1" x14ac:dyDescent="0.25">
      <c r="A681" s="35"/>
    </row>
    <row r="682" spans="1:1" x14ac:dyDescent="0.25">
      <c r="A682" s="35"/>
    </row>
    <row r="683" spans="1:1" x14ac:dyDescent="0.25">
      <c r="A683" s="35"/>
    </row>
    <row r="684" spans="1:1" x14ac:dyDescent="0.25">
      <c r="A684" s="35"/>
    </row>
    <row r="685" spans="1:1" x14ac:dyDescent="0.25">
      <c r="A685" s="35"/>
    </row>
    <row r="686" spans="1:1" x14ac:dyDescent="0.25">
      <c r="A686" s="35"/>
    </row>
    <row r="687" spans="1:1" x14ac:dyDescent="0.25">
      <c r="A687" s="35"/>
    </row>
    <row r="688" spans="1:1" x14ac:dyDescent="0.25">
      <c r="A688" s="35"/>
    </row>
    <row r="689" spans="1:1" x14ac:dyDescent="0.25">
      <c r="A689" s="35"/>
    </row>
    <row r="690" spans="1:1" x14ac:dyDescent="0.25">
      <c r="A690" s="35"/>
    </row>
    <row r="691" spans="1:1" x14ac:dyDescent="0.25">
      <c r="A691" s="35"/>
    </row>
    <row r="692" spans="1:1" x14ac:dyDescent="0.25">
      <c r="A692" s="35"/>
    </row>
    <row r="693" spans="1:1" x14ac:dyDescent="0.25">
      <c r="A693" s="35"/>
    </row>
    <row r="694" spans="1:1" x14ac:dyDescent="0.25">
      <c r="A694" s="35"/>
    </row>
    <row r="695" spans="1:1" x14ac:dyDescent="0.25">
      <c r="A695" s="35"/>
    </row>
    <row r="696" spans="1:1" x14ac:dyDescent="0.25">
      <c r="A696" s="35"/>
    </row>
    <row r="697" spans="1:1" x14ac:dyDescent="0.25">
      <c r="A697" s="35"/>
    </row>
    <row r="698" spans="1:1" x14ac:dyDescent="0.25">
      <c r="A698" s="35"/>
    </row>
    <row r="699" spans="1:1" x14ac:dyDescent="0.25">
      <c r="A699" s="35"/>
    </row>
    <row r="700" spans="1:1" x14ac:dyDescent="0.25">
      <c r="A700" s="35"/>
    </row>
    <row r="701" spans="1:1" x14ac:dyDescent="0.25">
      <c r="A701" s="35"/>
    </row>
    <row r="702" spans="1:1" x14ac:dyDescent="0.25">
      <c r="A702" s="35"/>
    </row>
    <row r="703" spans="1:1" x14ac:dyDescent="0.25">
      <c r="A703" s="35"/>
    </row>
    <row r="704" spans="1:1" x14ac:dyDescent="0.25">
      <c r="A704" s="35"/>
    </row>
    <row r="705" spans="1:1" x14ac:dyDescent="0.25">
      <c r="A705" s="35"/>
    </row>
    <row r="706" spans="1:1" x14ac:dyDescent="0.25">
      <c r="A706" s="35"/>
    </row>
    <row r="707" spans="1:1" x14ac:dyDescent="0.25">
      <c r="A707" s="35"/>
    </row>
    <row r="708" spans="1:1" x14ac:dyDescent="0.25">
      <c r="A708" s="35"/>
    </row>
    <row r="709" spans="1:1" x14ac:dyDescent="0.25">
      <c r="A709" s="35"/>
    </row>
    <row r="710" spans="1:1" x14ac:dyDescent="0.25">
      <c r="A710" s="35"/>
    </row>
    <row r="711" spans="1:1" x14ac:dyDescent="0.25">
      <c r="A711" s="35"/>
    </row>
    <row r="712" spans="1:1" x14ac:dyDescent="0.25">
      <c r="A712" s="35"/>
    </row>
    <row r="713" spans="1:1" x14ac:dyDescent="0.25">
      <c r="A713" s="35"/>
    </row>
    <row r="714" spans="1:1" x14ac:dyDescent="0.25">
      <c r="A714" s="35"/>
    </row>
    <row r="715" spans="1:1" x14ac:dyDescent="0.25">
      <c r="A715" s="35"/>
    </row>
    <row r="716" spans="1:1" x14ac:dyDescent="0.25">
      <c r="A716" s="35"/>
    </row>
    <row r="717" spans="1:1" x14ac:dyDescent="0.25">
      <c r="A717" s="35"/>
    </row>
    <row r="718" spans="1:1" x14ac:dyDescent="0.25">
      <c r="A718" s="35"/>
    </row>
    <row r="719" spans="1:1" x14ac:dyDescent="0.25">
      <c r="A719" s="35"/>
    </row>
    <row r="720" spans="1:1" x14ac:dyDescent="0.25">
      <c r="A720" s="35"/>
    </row>
    <row r="721" spans="1:1" x14ac:dyDescent="0.25">
      <c r="A721" s="35"/>
    </row>
    <row r="722" spans="1:1" x14ac:dyDescent="0.25">
      <c r="A722" s="35"/>
    </row>
    <row r="723" spans="1:1" x14ac:dyDescent="0.25">
      <c r="A723" s="35"/>
    </row>
    <row r="724" spans="1:1" x14ac:dyDescent="0.25">
      <c r="A724" s="35"/>
    </row>
    <row r="725" spans="1:1" x14ac:dyDescent="0.25">
      <c r="A725" s="35"/>
    </row>
    <row r="726" spans="1:1" x14ac:dyDescent="0.25">
      <c r="A726" s="35"/>
    </row>
    <row r="727" spans="1:1" x14ac:dyDescent="0.25">
      <c r="A727" s="35"/>
    </row>
    <row r="728" spans="1:1" x14ac:dyDescent="0.25">
      <c r="A728" s="35"/>
    </row>
    <row r="729" spans="1:1" x14ac:dyDescent="0.25">
      <c r="A729" s="35"/>
    </row>
    <row r="730" spans="1:1" x14ac:dyDescent="0.25">
      <c r="A730" s="35"/>
    </row>
    <row r="731" spans="1:1" x14ac:dyDescent="0.25">
      <c r="A731" s="35"/>
    </row>
    <row r="732" spans="1:1" x14ac:dyDescent="0.25">
      <c r="A732" s="35"/>
    </row>
    <row r="733" spans="1:1" x14ac:dyDescent="0.25">
      <c r="A733" s="35"/>
    </row>
    <row r="734" spans="1:1" x14ac:dyDescent="0.25">
      <c r="A734" s="35"/>
    </row>
    <row r="735" spans="1:1" x14ac:dyDescent="0.25">
      <c r="A735" s="35"/>
    </row>
    <row r="736" spans="1:1" x14ac:dyDescent="0.25">
      <c r="A736" s="35"/>
    </row>
    <row r="737" spans="1:1" x14ac:dyDescent="0.25">
      <c r="A737" s="35"/>
    </row>
    <row r="738" spans="1:1" x14ac:dyDescent="0.25">
      <c r="A738" s="35"/>
    </row>
    <row r="739" spans="1:1" x14ac:dyDescent="0.25">
      <c r="A739" s="35"/>
    </row>
    <row r="740" spans="1:1" x14ac:dyDescent="0.25">
      <c r="A740" s="35"/>
    </row>
    <row r="741" spans="1:1" x14ac:dyDescent="0.25">
      <c r="A741" s="35"/>
    </row>
    <row r="742" spans="1:1" x14ac:dyDescent="0.25">
      <c r="A742" s="35"/>
    </row>
    <row r="743" spans="1:1" x14ac:dyDescent="0.25">
      <c r="A743" s="35"/>
    </row>
    <row r="744" spans="1:1" x14ac:dyDescent="0.25">
      <c r="A744" s="35"/>
    </row>
    <row r="745" spans="1:1" x14ac:dyDescent="0.25">
      <c r="A745" s="35"/>
    </row>
    <row r="746" spans="1:1" x14ac:dyDescent="0.25">
      <c r="A746" s="35"/>
    </row>
    <row r="747" spans="1:1" x14ac:dyDescent="0.25">
      <c r="A747" s="35"/>
    </row>
    <row r="748" spans="1:1" x14ac:dyDescent="0.25">
      <c r="A748" s="35"/>
    </row>
    <row r="749" spans="1:1" x14ac:dyDescent="0.25">
      <c r="A749" s="35"/>
    </row>
    <row r="750" spans="1:1" x14ac:dyDescent="0.25">
      <c r="A750" s="35"/>
    </row>
    <row r="751" spans="1:1" x14ac:dyDescent="0.25">
      <c r="A751" s="35"/>
    </row>
    <row r="752" spans="1:1" x14ac:dyDescent="0.25">
      <c r="A752" s="35"/>
    </row>
    <row r="753" spans="1:1" x14ac:dyDescent="0.25">
      <c r="A753" s="35"/>
    </row>
    <row r="754" spans="1:1" x14ac:dyDescent="0.25">
      <c r="A754" s="35"/>
    </row>
    <row r="755" spans="1:1" x14ac:dyDescent="0.25">
      <c r="A755" s="35"/>
    </row>
    <row r="756" spans="1:1" x14ac:dyDescent="0.25">
      <c r="A756" s="35"/>
    </row>
    <row r="757" spans="1:1" x14ac:dyDescent="0.25">
      <c r="A757" s="35"/>
    </row>
    <row r="758" spans="1:1" x14ac:dyDescent="0.25">
      <c r="A758" s="35"/>
    </row>
    <row r="759" spans="1:1" x14ac:dyDescent="0.25">
      <c r="A759" s="35"/>
    </row>
    <row r="760" spans="1:1" x14ac:dyDescent="0.25">
      <c r="A760" s="35"/>
    </row>
    <row r="761" spans="1:1" x14ac:dyDescent="0.25">
      <c r="A761" s="35"/>
    </row>
    <row r="762" spans="1:1" x14ac:dyDescent="0.25">
      <c r="A762" s="35"/>
    </row>
    <row r="763" spans="1:1" x14ac:dyDescent="0.25">
      <c r="A763" s="35"/>
    </row>
    <row r="764" spans="1:1" x14ac:dyDescent="0.25">
      <c r="A764" s="35"/>
    </row>
    <row r="765" spans="1:1" x14ac:dyDescent="0.25">
      <c r="A765" s="35"/>
    </row>
    <row r="766" spans="1:1" x14ac:dyDescent="0.25">
      <c r="A766" s="35"/>
    </row>
    <row r="767" spans="1:1" x14ac:dyDescent="0.25">
      <c r="A767" s="35"/>
    </row>
    <row r="768" spans="1:1" x14ac:dyDescent="0.25">
      <c r="A768" s="35"/>
    </row>
    <row r="769" spans="1:1" x14ac:dyDescent="0.25">
      <c r="A769" s="35"/>
    </row>
    <row r="770" spans="1:1" x14ac:dyDescent="0.25">
      <c r="A770" s="35"/>
    </row>
    <row r="771" spans="1:1" x14ac:dyDescent="0.25">
      <c r="A771" s="35"/>
    </row>
    <row r="772" spans="1:1" x14ac:dyDescent="0.25">
      <c r="A772" s="35"/>
    </row>
    <row r="773" spans="1:1" x14ac:dyDescent="0.25">
      <c r="A773" s="35"/>
    </row>
    <row r="774" spans="1:1" x14ac:dyDescent="0.25">
      <c r="A774" s="35"/>
    </row>
    <row r="775" spans="1:1" x14ac:dyDescent="0.25">
      <c r="A775" s="35"/>
    </row>
    <row r="776" spans="1:1" x14ac:dyDescent="0.25">
      <c r="A776" s="35"/>
    </row>
    <row r="777" spans="1:1" x14ac:dyDescent="0.25">
      <c r="A777" s="35"/>
    </row>
    <row r="778" spans="1:1" x14ac:dyDescent="0.25">
      <c r="A778" s="35"/>
    </row>
    <row r="779" spans="1:1" x14ac:dyDescent="0.25">
      <c r="A779" s="35"/>
    </row>
    <row r="780" spans="1:1" x14ac:dyDescent="0.25">
      <c r="A780" s="35"/>
    </row>
    <row r="781" spans="1:1" x14ac:dyDescent="0.25">
      <c r="A781" s="35"/>
    </row>
    <row r="782" spans="1:1" x14ac:dyDescent="0.25">
      <c r="A782" s="35"/>
    </row>
    <row r="783" spans="1:1" x14ac:dyDescent="0.25">
      <c r="A783" s="35"/>
    </row>
    <row r="784" spans="1:1" x14ac:dyDescent="0.25">
      <c r="A784" s="35"/>
    </row>
    <row r="785" spans="1:1" x14ac:dyDescent="0.25">
      <c r="A785" s="35"/>
    </row>
    <row r="786" spans="1:1" x14ac:dyDescent="0.25">
      <c r="A786" s="35"/>
    </row>
    <row r="787" spans="1:1" x14ac:dyDescent="0.25">
      <c r="A787" s="35"/>
    </row>
    <row r="788" spans="1:1" x14ac:dyDescent="0.25">
      <c r="A788" s="35"/>
    </row>
    <row r="789" spans="1:1" x14ac:dyDescent="0.25">
      <c r="A789" s="35"/>
    </row>
    <row r="790" spans="1:1" x14ac:dyDescent="0.25">
      <c r="A790" s="35"/>
    </row>
    <row r="791" spans="1:1" x14ac:dyDescent="0.25">
      <c r="A791" s="35"/>
    </row>
    <row r="792" spans="1:1" x14ac:dyDescent="0.25">
      <c r="A792" s="35"/>
    </row>
    <row r="793" spans="1:1" x14ac:dyDescent="0.25">
      <c r="A793" s="35"/>
    </row>
    <row r="794" spans="1:1" x14ac:dyDescent="0.25">
      <c r="A794" s="35"/>
    </row>
    <row r="795" spans="1:1" x14ac:dyDescent="0.25">
      <c r="A795" s="35"/>
    </row>
    <row r="796" spans="1:1" x14ac:dyDescent="0.25">
      <c r="A796" s="35"/>
    </row>
    <row r="797" spans="1:1" x14ac:dyDescent="0.25">
      <c r="A797" s="35"/>
    </row>
    <row r="798" spans="1:1" x14ac:dyDescent="0.25">
      <c r="A798" s="35"/>
    </row>
    <row r="799" spans="1:1" x14ac:dyDescent="0.25">
      <c r="A799" s="35"/>
    </row>
    <row r="800" spans="1:1" x14ac:dyDescent="0.25">
      <c r="A800" s="35"/>
    </row>
    <row r="801" spans="1:1" x14ac:dyDescent="0.25">
      <c r="A801" s="35"/>
    </row>
    <row r="802" spans="1:1" x14ac:dyDescent="0.25">
      <c r="A802" s="35"/>
    </row>
    <row r="803" spans="1:1" x14ac:dyDescent="0.25">
      <c r="A803" s="35"/>
    </row>
    <row r="804" spans="1:1" x14ac:dyDescent="0.25">
      <c r="A804" s="35"/>
    </row>
    <row r="805" spans="1:1" x14ac:dyDescent="0.25">
      <c r="A805" s="35"/>
    </row>
    <row r="806" spans="1:1" x14ac:dyDescent="0.25">
      <c r="A806" s="35"/>
    </row>
    <row r="807" spans="1:1" x14ac:dyDescent="0.25">
      <c r="A807" s="35"/>
    </row>
    <row r="808" spans="1:1" x14ac:dyDescent="0.25">
      <c r="A808" s="35"/>
    </row>
    <row r="809" spans="1:1" x14ac:dyDescent="0.25">
      <c r="A809" s="35"/>
    </row>
    <row r="810" spans="1:1" x14ac:dyDescent="0.25">
      <c r="A810" s="35"/>
    </row>
    <row r="811" spans="1:1" x14ac:dyDescent="0.25">
      <c r="A811" s="35"/>
    </row>
    <row r="812" spans="1:1" x14ac:dyDescent="0.25">
      <c r="A812" s="35"/>
    </row>
    <row r="813" spans="1:1" x14ac:dyDescent="0.25">
      <c r="A813" s="35"/>
    </row>
    <row r="814" spans="1:1" x14ac:dyDescent="0.25">
      <c r="A814" s="35"/>
    </row>
    <row r="815" spans="1:1" x14ac:dyDescent="0.25">
      <c r="A815" s="35"/>
    </row>
    <row r="816" spans="1:1" x14ac:dyDescent="0.25">
      <c r="A816" s="35"/>
    </row>
    <row r="817" spans="1:1" x14ac:dyDescent="0.25">
      <c r="A817" s="35"/>
    </row>
    <row r="818" spans="1:1" x14ac:dyDescent="0.25">
      <c r="A818" s="35"/>
    </row>
    <row r="819" spans="1:1" x14ac:dyDescent="0.25">
      <c r="A819" s="35"/>
    </row>
    <row r="820" spans="1:1" x14ac:dyDescent="0.25">
      <c r="A820" s="35"/>
    </row>
    <row r="821" spans="1:1" x14ac:dyDescent="0.25">
      <c r="A821" s="35"/>
    </row>
    <row r="822" spans="1:1" x14ac:dyDescent="0.25">
      <c r="A822" s="35"/>
    </row>
    <row r="823" spans="1:1" x14ac:dyDescent="0.25">
      <c r="A823" s="35"/>
    </row>
    <row r="824" spans="1:1" x14ac:dyDescent="0.25">
      <c r="A824" s="35"/>
    </row>
    <row r="825" spans="1:1" x14ac:dyDescent="0.25">
      <c r="A825" s="35"/>
    </row>
    <row r="826" spans="1:1" x14ac:dyDescent="0.25">
      <c r="A826" s="35"/>
    </row>
    <row r="827" spans="1:1" x14ac:dyDescent="0.25">
      <c r="A827" s="35"/>
    </row>
    <row r="828" spans="1:1" x14ac:dyDescent="0.25">
      <c r="A828" s="35"/>
    </row>
    <row r="829" spans="1:1" x14ac:dyDescent="0.25">
      <c r="A829" s="35"/>
    </row>
    <row r="830" spans="1:1" x14ac:dyDescent="0.25">
      <c r="A830" s="35"/>
    </row>
    <row r="831" spans="1:1" x14ac:dyDescent="0.25">
      <c r="A831" s="35"/>
    </row>
    <row r="832" spans="1:1" x14ac:dyDescent="0.25">
      <c r="A832" s="35"/>
    </row>
    <row r="833" spans="1:1" x14ac:dyDescent="0.25">
      <c r="A833" s="35"/>
    </row>
    <row r="834" spans="1:1" x14ac:dyDescent="0.25">
      <c r="A834" s="35"/>
    </row>
    <row r="835" spans="1:1" x14ac:dyDescent="0.25">
      <c r="A835" s="35"/>
    </row>
    <row r="836" spans="1:1" x14ac:dyDescent="0.25">
      <c r="A836" s="35"/>
    </row>
    <row r="837" spans="1:1" x14ac:dyDescent="0.25">
      <c r="A837" s="35"/>
    </row>
    <row r="838" spans="1:1" x14ac:dyDescent="0.25">
      <c r="A838" s="35"/>
    </row>
    <row r="839" spans="1:1" x14ac:dyDescent="0.25">
      <c r="A839" s="35"/>
    </row>
    <row r="840" spans="1:1" x14ac:dyDescent="0.25">
      <c r="A840" s="35"/>
    </row>
    <row r="841" spans="1:1" x14ac:dyDescent="0.25">
      <c r="A841" s="35"/>
    </row>
    <row r="842" spans="1:1" x14ac:dyDescent="0.25">
      <c r="A842" s="35"/>
    </row>
    <row r="843" spans="1:1" x14ac:dyDescent="0.25">
      <c r="A843" s="35"/>
    </row>
    <row r="844" spans="1:1" x14ac:dyDescent="0.25">
      <c r="A844" s="35"/>
    </row>
    <row r="845" spans="1:1" x14ac:dyDescent="0.25">
      <c r="A845" s="35"/>
    </row>
    <row r="846" spans="1:1" x14ac:dyDescent="0.25">
      <c r="A846" s="35"/>
    </row>
    <row r="847" spans="1:1" x14ac:dyDescent="0.25">
      <c r="A847" s="35"/>
    </row>
    <row r="848" spans="1:1" x14ac:dyDescent="0.25">
      <c r="A848" s="35"/>
    </row>
    <row r="849" spans="1:1" x14ac:dyDescent="0.25">
      <c r="A849" s="35"/>
    </row>
    <row r="850" spans="1:1" x14ac:dyDescent="0.25">
      <c r="A850" s="35"/>
    </row>
    <row r="851" spans="1:1" x14ac:dyDescent="0.25">
      <c r="A851" s="35"/>
    </row>
    <row r="852" spans="1:1" x14ac:dyDescent="0.25">
      <c r="A852" s="35"/>
    </row>
    <row r="853" spans="1:1" x14ac:dyDescent="0.25">
      <c r="A853" s="35"/>
    </row>
    <row r="854" spans="1:1" x14ac:dyDescent="0.25">
      <c r="A854" s="35"/>
    </row>
    <row r="855" spans="1:1" x14ac:dyDescent="0.25">
      <c r="A855" s="35"/>
    </row>
    <row r="856" spans="1:1" x14ac:dyDescent="0.25">
      <c r="A856" s="35"/>
    </row>
    <row r="857" spans="1:1" x14ac:dyDescent="0.25">
      <c r="A857" s="35"/>
    </row>
    <row r="858" spans="1:1" x14ac:dyDescent="0.25">
      <c r="A858" s="35"/>
    </row>
    <row r="859" spans="1:1" x14ac:dyDescent="0.25">
      <c r="A859" s="35"/>
    </row>
    <row r="860" spans="1:1" x14ac:dyDescent="0.25">
      <c r="A860" s="35"/>
    </row>
    <row r="861" spans="1:1" x14ac:dyDescent="0.25">
      <c r="A861" s="35"/>
    </row>
    <row r="862" spans="1:1" x14ac:dyDescent="0.25">
      <c r="A862" s="35"/>
    </row>
    <row r="863" spans="1:1" x14ac:dyDescent="0.25">
      <c r="A863" s="35"/>
    </row>
    <row r="864" spans="1:1" x14ac:dyDescent="0.25">
      <c r="A864" s="35"/>
    </row>
    <row r="865" spans="1:1" x14ac:dyDescent="0.25">
      <c r="A865" s="35"/>
    </row>
    <row r="866" spans="1:1" x14ac:dyDescent="0.25">
      <c r="A866" s="35"/>
    </row>
    <row r="867" spans="1:1" x14ac:dyDescent="0.25">
      <c r="A867" s="35"/>
    </row>
    <row r="868" spans="1:1" x14ac:dyDescent="0.25">
      <c r="A868" s="35"/>
    </row>
    <row r="869" spans="1:1" x14ac:dyDescent="0.25">
      <c r="A869" s="35"/>
    </row>
    <row r="870" spans="1:1" x14ac:dyDescent="0.25">
      <c r="A870" s="35"/>
    </row>
    <row r="871" spans="1:1" x14ac:dyDescent="0.25">
      <c r="A871" s="35"/>
    </row>
    <row r="872" spans="1:1" x14ac:dyDescent="0.25">
      <c r="A872" s="35"/>
    </row>
    <row r="873" spans="1:1" x14ac:dyDescent="0.25">
      <c r="A873" s="35"/>
    </row>
    <row r="874" spans="1:1" x14ac:dyDescent="0.25">
      <c r="A874" s="35"/>
    </row>
    <row r="875" spans="1:1" x14ac:dyDescent="0.25">
      <c r="A875" s="35"/>
    </row>
    <row r="876" spans="1:1" x14ac:dyDescent="0.25">
      <c r="A876" s="35"/>
    </row>
    <row r="877" spans="1:1" x14ac:dyDescent="0.25">
      <c r="A877" s="35"/>
    </row>
    <row r="878" spans="1:1" x14ac:dyDescent="0.25">
      <c r="A878" s="35"/>
    </row>
    <row r="879" spans="1:1" x14ac:dyDescent="0.25">
      <c r="A879" s="35"/>
    </row>
    <row r="880" spans="1:1" x14ac:dyDescent="0.25">
      <c r="A880" s="35"/>
    </row>
    <row r="881" spans="1:1" x14ac:dyDescent="0.25">
      <c r="A881" s="35"/>
    </row>
    <row r="882" spans="1:1" x14ac:dyDescent="0.25">
      <c r="A882" s="35"/>
    </row>
    <row r="883" spans="1:1" x14ac:dyDescent="0.25">
      <c r="A883" s="35"/>
    </row>
    <row r="884" spans="1:1" x14ac:dyDescent="0.25">
      <c r="A884" s="35"/>
    </row>
    <row r="885" spans="1:1" x14ac:dyDescent="0.25">
      <c r="A885" s="35"/>
    </row>
    <row r="886" spans="1:1" x14ac:dyDescent="0.25">
      <c r="A886" s="35"/>
    </row>
    <row r="887" spans="1:1" x14ac:dyDescent="0.25">
      <c r="A887" s="35"/>
    </row>
    <row r="888" spans="1:1" x14ac:dyDescent="0.25">
      <c r="A888" s="35"/>
    </row>
    <row r="889" spans="1:1" x14ac:dyDescent="0.25">
      <c r="A889" s="35"/>
    </row>
    <row r="890" spans="1:1" x14ac:dyDescent="0.25">
      <c r="A890" s="35"/>
    </row>
    <row r="891" spans="1:1" x14ac:dyDescent="0.25">
      <c r="A891" s="35"/>
    </row>
    <row r="892" spans="1:1" x14ac:dyDescent="0.25">
      <c r="A892" s="35"/>
    </row>
    <row r="893" spans="1:1" x14ac:dyDescent="0.25">
      <c r="A893" s="35"/>
    </row>
    <row r="894" spans="1:1" x14ac:dyDescent="0.25">
      <c r="A894" s="35"/>
    </row>
    <row r="895" spans="1:1" x14ac:dyDescent="0.25">
      <c r="A895" s="35"/>
    </row>
    <row r="896" spans="1:1" x14ac:dyDescent="0.25">
      <c r="A896" s="35"/>
    </row>
    <row r="897" spans="1:1" x14ac:dyDescent="0.25">
      <c r="A897" s="35"/>
    </row>
    <row r="898" spans="1:1" x14ac:dyDescent="0.25">
      <c r="A898" s="35"/>
    </row>
    <row r="899" spans="1:1" x14ac:dyDescent="0.25">
      <c r="A899" s="35"/>
    </row>
    <row r="900" spans="1:1" x14ac:dyDescent="0.25">
      <c r="A900" s="35"/>
    </row>
    <row r="901" spans="1:1" x14ac:dyDescent="0.25">
      <c r="A901" s="35"/>
    </row>
    <row r="902" spans="1:1" x14ac:dyDescent="0.25">
      <c r="A902" s="35"/>
    </row>
    <row r="903" spans="1:1" x14ac:dyDescent="0.25">
      <c r="A903" s="35"/>
    </row>
    <row r="904" spans="1:1" x14ac:dyDescent="0.25">
      <c r="A904" s="35"/>
    </row>
    <row r="905" spans="1:1" x14ac:dyDescent="0.25">
      <c r="A905" s="35"/>
    </row>
    <row r="906" spans="1:1" x14ac:dyDescent="0.25">
      <c r="A906" s="35"/>
    </row>
    <row r="907" spans="1:1" x14ac:dyDescent="0.25">
      <c r="A907" s="35"/>
    </row>
    <row r="908" spans="1:1" x14ac:dyDescent="0.25">
      <c r="A908" s="35"/>
    </row>
    <row r="909" spans="1:1" x14ac:dyDescent="0.25">
      <c r="A909" s="35"/>
    </row>
    <row r="910" spans="1:1" x14ac:dyDescent="0.25">
      <c r="A910" s="35"/>
    </row>
    <row r="911" spans="1:1" x14ac:dyDescent="0.25">
      <c r="A911" s="35"/>
    </row>
    <row r="912" spans="1:1" x14ac:dyDescent="0.25">
      <c r="A912" s="35"/>
    </row>
    <row r="913" spans="1:1" x14ac:dyDescent="0.25">
      <c r="A913" s="35"/>
    </row>
    <row r="914" spans="1:1" x14ac:dyDescent="0.25">
      <c r="A914" s="35"/>
    </row>
    <row r="915" spans="1:1" x14ac:dyDescent="0.25">
      <c r="A915" s="35"/>
    </row>
    <row r="916" spans="1:1" x14ac:dyDescent="0.25">
      <c r="A916" s="35"/>
    </row>
    <row r="917" spans="1:1" x14ac:dyDescent="0.25">
      <c r="A917" s="35"/>
    </row>
    <row r="918" spans="1:1" x14ac:dyDescent="0.25">
      <c r="A918" s="35"/>
    </row>
    <row r="919" spans="1:1" x14ac:dyDescent="0.25">
      <c r="A919" s="35"/>
    </row>
    <row r="920" spans="1:1" x14ac:dyDescent="0.25">
      <c r="A920" s="35"/>
    </row>
    <row r="921" spans="1:1" x14ac:dyDescent="0.25">
      <c r="A921" s="35"/>
    </row>
    <row r="922" spans="1:1" x14ac:dyDescent="0.25">
      <c r="A922" s="35"/>
    </row>
    <row r="923" spans="1:1" x14ac:dyDescent="0.25">
      <c r="A923" s="35"/>
    </row>
    <row r="924" spans="1:1" x14ac:dyDescent="0.25">
      <c r="A924" s="35"/>
    </row>
    <row r="925" spans="1:1" x14ac:dyDescent="0.25">
      <c r="A925" s="35"/>
    </row>
    <row r="926" spans="1:1" x14ac:dyDescent="0.25">
      <c r="A926" s="35"/>
    </row>
    <row r="927" spans="1:1" x14ac:dyDescent="0.25">
      <c r="A927" s="35"/>
    </row>
    <row r="928" spans="1:1" x14ac:dyDescent="0.25">
      <c r="A928" s="35"/>
    </row>
    <row r="929" spans="1:1" x14ac:dyDescent="0.25">
      <c r="A929" s="35"/>
    </row>
    <row r="930" spans="1:1" x14ac:dyDescent="0.25">
      <c r="A930" s="35"/>
    </row>
    <row r="931" spans="1:1" x14ac:dyDescent="0.25">
      <c r="A931" s="35"/>
    </row>
    <row r="932" spans="1:1" x14ac:dyDescent="0.25">
      <c r="A932" s="35"/>
    </row>
    <row r="933" spans="1:1" x14ac:dyDescent="0.25">
      <c r="A933" s="35"/>
    </row>
    <row r="934" spans="1:1" x14ac:dyDescent="0.25">
      <c r="A934" s="35"/>
    </row>
    <row r="935" spans="1:1" x14ac:dyDescent="0.25">
      <c r="A935" s="35"/>
    </row>
    <row r="936" spans="1:1" x14ac:dyDescent="0.25">
      <c r="A936" s="35"/>
    </row>
    <row r="937" spans="1:1" x14ac:dyDescent="0.25">
      <c r="A937" s="35"/>
    </row>
    <row r="938" spans="1:1" x14ac:dyDescent="0.25">
      <c r="A938" s="35"/>
    </row>
    <row r="939" spans="1:1" x14ac:dyDescent="0.25">
      <c r="A939" s="35"/>
    </row>
    <row r="940" spans="1:1" x14ac:dyDescent="0.25">
      <c r="A940" s="35"/>
    </row>
    <row r="941" spans="1:1" x14ac:dyDescent="0.25">
      <c r="A941" s="35"/>
    </row>
    <row r="942" spans="1:1" x14ac:dyDescent="0.25">
      <c r="A942" s="35"/>
    </row>
    <row r="943" spans="1:1" x14ac:dyDescent="0.25">
      <c r="A943" s="35"/>
    </row>
    <row r="944" spans="1:1" x14ac:dyDescent="0.25">
      <c r="A944" s="35"/>
    </row>
    <row r="945" spans="1:1" x14ac:dyDescent="0.25">
      <c r="A945" s="35"/>
    </row>
    <row r="946" spans="1:1" x14ac:dyDescent="0.25">
      <c r="A946" s="35"/>
    </row>
    <row r="947" spans="1:1" x14ac:dyDescent="0.25">
      <c r="A947" s="35"/>
    </row>
    <row r="948" spans="1:1" x14ac:dyDescent="0.25">
      <c r="A948" s="35"/>
    </row>
    <row r="949" spans="1:1" x14ac:dyDescent="0.25">
      <c r="A949" s="35"/>
    </row>
    <row r="950" spans="1:1" x14ac:dyDescent="0.25">
      <c r="A950" s="35"/>
    </row>
    <row r="951" spans="1:1" x14ac:dyDescent="0.25">
      <c r="A951" s="35"/>
    </row>
    <row r="952" spans="1:1" x14ac:dyDescent="0.25">
      <c r="A952" s="35"/>
    </row>
    <row r="953" spans="1:1" x14ac:dyDescent="0.25">
      <c r="A953" s="35"/>
    </row>
    <row r="954" spans="1:1" x14ac:dyDescent="0.25">
      <c r="A954" s="35"/>
    </row>
    <row r="955" spans="1:1" x14ac:dyDescent="0.25">
      <c r="A955" s="35"/>
    </row>
    <row r="956" spans="1:1" x14ac:dyDescent="0.25">
      <c r="A956" s="35"/>
    </row>
    <row r="957" spans="1:1" x14ac:dyDescent="0.25">
      <c r="A957" s="35"/>
    </row>
    <row r="958" spans="1:1" x14ac:dyDescent="0.25">
      <c r="A958" s="35"/>
    </row>
    <row r="959" spans="1:1" x14ac:dyDescent="0.25">
      <c r="A959" s="35"/>
    </row>
    <row r="960" spans="1:1" x14ac:dyDescent="0.25">
      <c r="A960" s="35"/>
    </row>
    <row r="961" spans="1:1" x14ac:dyDescent="0.25">
      <c r="A961" s="35"/>
    </row>
    <row r="962" spans="1:1" x14ac:dyDescent="0.25">
      <c r="A962" s="35"/>
    </row>
    <row r="963" spans="1:1" x14ac:dyDescent="0.25">
      <c r="A963" s="35"/>
    </row>
    <row r="964" spans="1:1" x14ac:dyDescent="0.25">
      <c r="A964" s="35"/>
    </row>
    <row r="965" spans="1:1" x14ac:dyDescent="0.25">
      <c r="A965" s="35"/>
    </row>
    <row r="966" spans="1:1" x14ac:dyDescent="0.25">
      <c r="A966" s="35"/>
    </row>
    <row r="967" spans="1:1" x14ac:dyDescent="0.25">
      <c r="A967" s="35"/>
    </row>
    <row r="968" spans="1:1" x14ac:dyDescent="0.25">
      <c r="A968" s="35"/>
    </row>
    <row r="969" spans="1:1" x14ac:dyDescent="0.25">
      <c r="A969" s="35"/>
    </row>
    <row r="970" spans="1:1" x14ac:dyDescent="0.25">
      <c r="A970" s="35"/>
    </row>
    <row r="971" spans="1:1" x14ac:dyDescent="0.25">
      <c r="A971" s="35"/>
    </row>
    <row r="972" spans="1:1" x14ac:dyDescent="0.25">
      <c r="A972" s="35"/>
    </row>
    <row r="973" spans="1:1" x14ac:dyDescent="0.25">
      <c r="A973" s="35"/>
    </row>
    <row r="974" spans="1:1" x14ac:dyDescent="0.25">
      <c r="A974" s="35"/>
    </row>
    <row r="975" spans="1:1" x14ac:dyDescent="0.25">
      <c r="A975" s="35"/>
    </row>
    <row r="976" spans="1:1" x14ac:dyDescent="0.25">
      <c r="A976" s="35"/>
    </row>
    <row r="977" spans="1:1" x14ac:dyDescent="0.25">
      <c r="A977" s="35"/>
    </row>
    <row r="978" spans="1:1" x14ac:dyDescent="0.25">
      <c r="A978" s="35"/>
    </row>
    <row r="979" spans="1:1" x14ac:dyDescent="0.25">
      <c r="A979" s="35"/>
    </row>
    <row r="980" spans="1:1" x14ac:dyDescent="0.25">
      <c r="A980" s="35"/>
    </row>
    <row r="981" spans="1:1" x14ac:dyDescent="0.25">
      <c r="A981" s="35"/>
    </row>
    <row r="982" spans="1:1" x14ac:dyDescent="0.25">
      <c r="A982" s="35"/>
    </row>
    <row r="983" spans="1:1" x14ac:dyDescent="0.25">
      <c r="A983" s="35"/>
    </row>
    <row r="984" spans="1:1" x14ac:dyDescent="0.25">
      <c r="A984" s="35"/>
    </row>
    <row r="985" spans="1:1" x14ac:dyDescent="0.25">
      <c r="A985" s="35"/>
    </row>
    <row r="986" spans="1:1" x14ac:dyDescent="0.25">
      <c r="A986" s="35"/>
    </row>
    <row r="987" spans="1:1" x14ac:dyDescent="0.25">
      <c r="A987" s="35"/>
    </row>
    <row r="988" spans="1:1" x14ac:dyDescent="0.25">
      <c r="A988" s="35"/>
    </row>
    <row r="989" spans="1:1" x14ac:dyDescent="0.25">
      <c r="A989" s="35"/>
    </row>
    <row r="990" spans="1:1" x14ac:dyDescent="0.25">
      <c r="A990" s="35"/>
    </row>
    <row r="991" spans="1:1" x14ac:dyDescent="0.25">
      <c r="A991" s="35"/>
    </row>
    <row r="992" spans="1:1" x14ac:dyDescent="0.25">
      <c r="A992" s="35"/>
    </row>
    <row r="993" spans="1:1" x14ac:dyDescent="0.25">
      <c r="A993" s="35"/>
    </row>
    <row r="994" spans="1:1" x14ac:dyDescent="0.25">
      <c r="A994" s="35"/>
    </row>
    <row r="995" spans="1:1" x14ac:dyDescent="0.25">
      <c r="A995" s="35"/>
    </row>
    <row r="996" spans="1:1" x14ac:dyDescent="0.25">
      <c r="A996" s="35"/>
    </row>
    <row r="997" spans="1:1" x14ac:dyDescent="0.25">
      <c r="A997" s="35"/>
    </row>
    <row r="998" spans="1:1" x14ac:dyDescent="0.25">
      <c r="A998" s="35"/>
    </row>
    <row r="999" spans="1:1" x14ac:dyDescent="0.25">
      <c r="A999" s="35"/>
    </row>
    <row r="1000" spans="1:1" x14ac:dyDescent="0.25">
      <c r="A1000" s="35"/>
    </row>
    <row r="1001" spans="1:1" x14ac:dyDescent="0.25">
      <c r="A1001" s="35"/>
    </row>
    <row r="1002" spans="1:1" x14ac:dyDescent="0.25">
      <c r="A1002" s="35"/>
    </row>
    <row r="1003" spans="1:1" x14ac:dyDescent="0.25">
      <c r="A1003" s="35"/>
    </row>
    <row r="1004" spans="1:1" x14ac:dyDescent="0.25">
      <c r="A1004" s="35"/>
    </row>
    <row r="1005" spans="1:1" x14ac:dyDescent="0.25">
      <c r="A1005" s="35"/>
    </row>
    <row r="1006" spans="1:1" x14ac:dyDescent="0.25">
      <c r="A1006" s="35"/>
    </row>
    <row r="1007" spans="1:1" x14ac:dyDescent="0.25">
      <c r="A1007" s="35"/>
    </row>
    <row r="1008" spans="1:1" x14ac:dyDescent="0.25">
      <c r="A1008" s="35"/>
    </row>
    <row r="1009" spans="1:1" x14ac:dyDescent="0.25">
      <c r="A1009" s="35"/>
    </row>
    <row r="1010" spans="1:1" x14ac:dyDescent="0.25">
      <c r="A1010" s="35"/>
    </row>
    <row r="1011" spans="1:1" x14ac:dyDescent="0.25">
      <c r="A1011" s="35"/>
    </row>
    <row r="1012" spans="1:1" x14ac:dyDescent="0.25">
      <c r="A1012" s="35"/>
    </row>
    <row r="1013" spans="1:1" x14ac:dyDescent="0.25">
      <c r="A1013" s="35"/>
    </row>
    <row r="1014" spans="1:1" x14ac:dyDescent="0.25">
      <c r="A1014" s="35"/>
    </row>
    <row r="1015" spans="1:1" x14ac:dyDescent="0.25">
      <c r="A1015" s="35"/>
    </row>
    <row r="1016" spans="1:1" x14ac:dyDescent="0.25">
      <c r="A1016" s="35"/>
    </row>
    <row r="1017" spans="1:1" x14ac:dyDescent="0.25">
      <c r="A1017" s="35"/>
    </row>
    <row r="1018" spans="1:1" x14ac:dyDescent="0.25">
      <c r="A1018" s="35"/>
    </row>
    <row r="1019" spans="1:1" x14ac:dyDescent="0.25">
      <c r="A1019" s="35"/>
    </row>
    <row r="1020" spans="1:1" x14ac:dyDescent="0.25">
      <c r="A1020" s="35"/>
    </row>
    <row r="1021" spans="1:1" x14ac:dyDescent="0.25">
      <c r="A1021" s="35"/>
    </row>
    <row r="1022" spans="1:1" x14ac:dyDescent="0.25">
      <c r="A1022" s="35"/>
    </row>
    <row r="1023" spans="1:1" x14ac:dyDescent="0.25">
      <c r="A1023" s="35"/>
    </row>
    <row r="1024" spans="1:1" x14ac:dyDescent="0.25">
      <c r="A1024" s="35"/>
    </row>
    <row r="1025" spans="1:1" x14ac:dyDescent="0.25">
      <c r="A1025" s="35"/>
    </row>
    <row r="1026" spans="1:1" x14ac:dyDescent="0.25">
      <c r="A1026" s="35"/>
    </row>
    <row r="1027" spans="1:1" x14ac:dyDescent="0.25">
      <c r="A1027" s="35"/>
    </row>
    <row r="1028" spans="1:1" x14ac:dyDescent="0.25">
      <c r="A1028" s="35"/>
    </row>
    <row r="1029" spans="1:1" x14ac:dyDescent="0.25">
      <c r="A1029" s="35"/>
    </row>
    <row r="1030" spans="1:1" x14ac:dyDescent="0.25">
      <c r="A1030" s="35"/>
    </row>
    <row r="1031" spans="1:1" x14ac:dyDescent="0.25">
      <c r="A1031" s="35"/>
    </row>
    <row r="1032" spans="1:1" x14ac:dyDescent="0.25">
      <c r="A1032" s="35"/>
    </row>
    <row r="1033" spans="1:1" x14ac:dyDescent="0.25">
      <c r="A1033" s="35"/>
    </row>
    <row r="1034" spans="1:1" x14ac:dyDescent="0.25">
      <c r="A1034" s="35"/>
    </row>
    <row r="1035" spans="1:1" x14ac:dyDescent="0.25">
      <c r="A1035" s="35"/>
    </row>
    <row r="1036" spans="1:1" x14ac:dyDescent="0.25">
      <c r="A1036" s="35"/>
    </row>
    <row r="1037" spans="1:1" x14ac:dyDescent="0.25">
      <c r="A1037" s="35"/>
    </row>
    <row r="1038" spans="1:1" x14ac:dyDescent="0.25">
      <c r="A1038" s="35"/>
    </row>
    <row r="1039" spans="1:1" x14ac:dyDescent="0.25">
      <c r="A1039" s="35"/>
    </row>
    <row r="1040" spans="1:1" x14ac:dyDescent="0.25">
      <c r="A1040" s="35"/>
    </row>
    <row r="1041" spans="1:1" x14ac:dyDescent="0.25">
      <c r="A1041" s="35"/>
    </row>
    <row r="1042" spans="1:1" x14ac:dyDescent="0.25">
      <c r="A1042" s="35"/>
    </row>
    <row r="1043" spans="1:1" x14ac:dyDescent="0.25">
      <c r="A1043" s="35"/>
    </row>
    <row r="1044" spans="1:1" x14ac:dyDescent="0.25">
      <c r="A1044" s="35"/>
    </row>
    <row r="1045" spans="1:1" x14ac:dyDescent="0.25">
      <c r="A1045" s="35"/>
    </row>
    <row r="1046" spans="1:1" x14ac:dyDescent="0.25">
      <c r="A1046" s="35"/>
    </row>
    <row r="1047" spans="1:1" x14ac:dyDescent="0.25">
      <c r="A1047" s="35"/>
    </row>
    <row r="1048" spans="1:1" x14ac:dyDescent="0.25">
      <c r="A1048" s="35"/>
    </row>
    <row r="1049" spans="1:1" x14ac:dyDescent="0.25">
      <c r="A1049" s="35"/>
    </row>
    <row r="1050" spans="1:1" x14ac:dyDescent="0.25">
      <c r="A1050" s="35"/>
    </row>
    <row r="1051" spans="1:1" x14ac:dyDescent="0.25">
      <c r="A1051" s="35"/>
    </row>
    <row r="1052" spans="1:1" x14ac:dyDescent="0.25">
      <c r="A1052" s="35"/>
    </row>
    <row r="1053" spans="1:1" x14ac:dyDescent="0.25">
      <c r="A1053" s="35"/>
    </row>
    <row r="1054" spans="1:1" x14ac:dyDescent="0.25">
      <c r="A1054" s="35"/>
    </row>
    <row r="1055" spans="1:1" x14ac:dyDescent="0.25">
      <c r="A1055" s="35"/>
    </row>
    <row r="1056" spans="1:1" x14ac:dyDescent="0.25">
      <c r="A1056" s="35"/>
    </row>
    <row r="1057" spans="1:1" x14ac:dyDescent="0.25">
      <c r="A1057" s="35"/>
    </row>
    <row r="1058" spans="1:1" x14ac:dyDescent="0.25">
      <c r="A1058" s="35"/>
    </row>
    <row r="1059" spans="1:1" x14ac:dyDescent="0.25">
      <c r="A1059" s="35"/>
    </row>
    <row r="1060" spans="1:1" x14ac:dyDescent="0.25">
      <c r="A1060" s="35"/>
    </row>
    <row r="1061" spans="1:1" x14ac:dyDescent="0.25">
      <c r="A1061" s="35"/>
    </row>
    <row r="1062" spans="1:1" x14ac:dyDescent="0.25">
      <c r="A1062" s="35"/>
    </row>
    <row r="1063" spans="1:1" x14ac:dyDescent="0.25">
      <c r="A1063" s="35"/>
    </row>
    <row r="1064" spans="1:1" x14ac:dyDescent="0.25">
      <c r="A1064" s="35"/>
    </row>
    <row r="1065" spans="1:1" x14ac:dyDescent="0.25">
      <c r="A1065" s="35"/>
    </row>
    <row r="1066" spans="1:1" x14ac:dyDescent="0.25">
      <c r="A1066" s="35"/>
    </row>
    <row r="1067" spans="1:1" x14ac:dyDescent="0.25">
      <c r="A1067" s="35"/>
    </row>
    <row r="1068" spans="1:1" x14ac:dyDescent="0.25">
      <c r="A1068" s="35"/>
    </row>
    <row r="1069" spans="1:1" x14ac:dyDescent="0.25">
      <c r="A1069" s="35"/>
    </row>
    <row r="1070" spans="1:1" x14ac:dyDescent="0.25">
      <c r="A1070" s="35"/>
    </row>
    <row r="1071" spans="1:1" x14ac:dyDescent="0.25">
      <c r="A1071" s="35"/>
    </row>
    <row r="1072" spans="1:1" x14ac:dyDescent="0.25">
      <c r="A1072" s="35"/>
    </row>
    <row r="1073" spans="1:1" x14ac:dyDescent="0.25">
      <c r="A1073" s="35"/>
    </row>
    <row r="1074" spans="1:1" x14ac:dyDescent="0.25">
      <c r="A1074" s="35"/>
    </row>
    <row r="1075" spans="1:1" x14ac:dyDescent="0.25">
      <c r="A1075" s="35"/>
    </row>
    <row r="1076" spans="1:1" x14ac:dyDescent="0.25">
      <c r="A1076" s="35"/>
    </row>
    <row r="1077" spans="1:1" x14ac:dyDescent="0.25">
      <c r="A1077" s="35"/>
    </row>
    <row r="1078" spans="1:1" x14ac:dyDescent="0.25">
      <c r="A1078" s="35"/>
    </row>
    <row r="1079" spans="1:1" x14ac:dyDescent="0.25">
      <c r="A1079" s="35"/>
    </row>
    <row r="1080" spans="1:1" x14ac:dyDescent="0.25">
      <c r="A1080" s="35"/>
    </row>
    <row r="1081" spans="1:1" x14ac:dyDescent="0.25">
      <c r="A1081" s="35"/>
    </row>
    <row r="1082" spans="1:1" x14ac:dyDescent="0.25">
      <c r="A1082" s="35"/>
    </row>
    <row r="1083" spans="1:1" x14ac:dyDescent="0.25">
      <c r="A1083" s="35"/>
    </row>
    <row r="1084" spans="1:1" x14ac:dyDescent="0.25">
      <c r="A1084" s="35"/>
    </row>
    <row r="1085" spans="1:1" x14ac:dyDescent="0.25">
      <c r="A1085" s="35"/>
    </row>
    <row r="1086" spans="1:1" x14ac:dyDescent="0.25">
      <c r="A1086" s="35"/>
    </row>
    <row r="1087" spans="1:1" x14ac:dyDescent="0.25">
      <c r="A1087" s="35"/>
    </row>
    <row r="1088" spans="1:1" x14ac:dyDescent="0.25">
      <c r="A1088" s="35"/>
    </row>
    <row r="1089" spans="1:1" x14ac:dyDescent="0.25">
      <c r="A1089" s="35"/>
    </row>
    <row r="1090" spans="1:1" x14ac:dyDescent="0.25">
      <c r="A1090" s="35"/>
    </row>
    <row r="1091" spans="1:1" x14ac:dyDescent="0.25">
      <c r="A1091" s="35"/>
    </row>
    <row r="1092" spans="1:1" x14ac:dyDescent="0.25">
      <c r="A1092" s="35"/>
    </row>
    <row r="1093" spans="1:1" x14ac:dyDescent="0.25">
      <c r="A1093" s="35"/>
    </row>
    <row r="1094" spans="1:1" x14ac:dyDescent="0.25">
      <c r="A1094" s="35"/>
    </row>
    <row r="1095" spans="1:1" x14ac:dyDescent="0.25">
      <c r="A1095" s="35"/>
    </row>
    <row r="1096" spans="1:1" x14ac:dyDescent="0.25">
      <c r="A1096" s="35"/>
    </row>
    <row r="1097" spans="1:1" x14ac:dyDescent="0.25">
      <c r="A1097" s="35"/>
    </row>
    <row r="1098" spans="1:1" x14ac:dyDescent="0.25">
      <c r="A1098" s="35"/>
    </row>
    <row r="1099" spans="1:1" x14ac:dyDescent="0.25">
      <c r="A1099" s="35"/>
    </row>
    <row r="1100" spans="1:1" x14ac:dyDescent="0.25">
      <c r="A1100" s="35"/>
    </row>
    <row r="1101" spans="1:1" x14ac:dyDescent="0.25">
      <c r="A1101" s="35"/>
    </row>
    <row r="1102" spans="1:1" x14ac:dyDescent="0.25">
      <c r="A1102" s="35"/>
    </row>
    <row r="1103" spans="1:1" x14ac:dyDescent="0.25">
      <c r="A1103" s="35"/>
    </row>
    <row r="1104" spans="1:1" x14ac:dyDescent="0.25">
      <c r="A1104" s="35"/>
    </row>
    <row r="1105" spans="1:1" x14ac:dyDescent="0.25">
      <c r="A1105" s="35"/>
    </row>
    <row r="1106" spans="1:1" x14ac:dyDescent="0.25">
      <c r="A1106" s="35"/>
    </row>
    <row r="1107" spans="1:1" x14ac:dyDescent="0.25">
      <c r="A1107" s="35"/>
    </row>
    <row r="1108" spans="1:1" x14ac:dyDescent="0.25">
      <c r="A1108" s="35"/>
    </row>
    <row r="1109" spans="1:1" x14ac:dyDescent="0.25">
      <c r="A1109" s="35"/>
    </row>
    <row r="1110" spans="1:1" x14ac:dyDescent="0.25">
      <c r="A1110" s="35"/>
    </row>
    <row r="1111" spans="1:1" x14ac:dyDescent="0.25">
      <c r="A1111" s="35"/>
    </row>
    <row r="1112" spans="1:1" x14ac:dyDescent="0.25">
      <c r="A1112" s="35"/>
    </row>
    <row r="1113" spans="1:1" x14ac:dyDescent="0.25">
      <c r="A1113" s="35"/>
    </row>
    <row r="1114" spans="1:1" x14ac:dyDescent="0.25">
      <c r="A1114" s="35"/>
    </row>
    <row r="1115" spans="1:1" x14ac:dyDescent="0.25">
      <c r="A1115" s="35"/>
    </row>
    <row r="1116" spans="1:1" x14ac:dyDescent="0.25">
      <c r="A1116" s="35"/>
    </row>
    <row r="1117" spans="1:1" x14ac:dyDescent="0.25">
      <c r="A1117" s="35"/>
    </row>
    <row r="1118" spans="1:1" x14ac:dyDescent="0.25">
      <c r="A1118" s="35"/>
    </row>
    <row r="1119" spans="1:1" x14ac:dyDescent="0.25">
      <c r="A1119" s="35"/>
    </row>
    <row r="1120" spans="1:1" x14ac:dyDescent="0.25">
      <c r="A1120" s="35"/>
    </row>
    <row r="1121" spans="1:1" x14ac:dyDescent="0.25">
      <c r="A1121" s="35"/>
    </row>
    <row r="1122" spans="1:1" x14ac:dyDescent="0.25">
      <c r="A1122" s="35"/>
    </row>
    <row r="1123" spans="1:1" x14ac:dyDescent="0.25">
      <c r="A1123" s="35"/>
    </row>
    <row r="1124" spans="1:1" x14ac:dyDescent="0.25">
      <c r="A1124" s="35"/>
    </row>
    <row r="1125" spans="1:1" x14ac:dyDescent="0.25">
      <c r="A1125" s="35"/>
    </row>
    <row r="1126" spans="1:1" x14ac:dyDescent="0.25">
      <c r="A1126" s="35"/>
    </row>
    <row r="1127" spans="1:1" x14ac:dyDescent="0.25">
      <c r="A1127" s="35"/>
    </row>
    <row r="1128" spans="1:1" x14ac:dyDescent="0.25">
      <c r="A1128" s="35"/>
    </row>
    <row r="1129" spans="1:1" x14ac:dyDescent="0.25">
      <c r="A1129" s="35"/>
    </row>
    <row r="1130" spans="1:1" x14ac:dyDescent="0.25">
      <c r="A1130" s="35"/>
    </row>
    <row r="1131" spans="1:1" x14ac:dyDescent="0.25">
      <c r="A1131" s="35"/>
    </row>
    <row r="1132" spans="1:1" x14ac:dyDescent="0.25">
      <c r="A1132" s="35"/>
    </row>
    <row r="1133" spans="1:1" x14ac:dyDescent="0.25">
      <c r="A1133" s="35"/>
    </row>
    <row r="1134" spans="1:1" x14ac:dyDescent="0.25">
      <c r="A1134" s="35"/>
    </row>
    <row r="1135" spans="1:1" x14ac:dyDescent="0.25">
      <c r="A1135" s="35"/>
    </row>
    <row r="1136" spans="1:1" x14ac:dyDescent="0.25">
      <c r="A1136" s="35"/>
    </row>
    <row r="1137" spans="1:1" x14ac:dyDescent="0.25">
      <c r="A1137" s="35"/>
    </row>
    <row r="1138" spans="1:1" x14ac:dyDescent="0.25">
      <c r="A1138" s="35"/>
    </row>
    <row r="1139" spans="1:1" x14ac:dyDescent="0.25">
      <c r="A1139" s="35"/>
    </row>
    <row r="1140" spans="1:1" x14ac:dyDescent="0.25">
      <c r="A1140" s="35"/>
    </row>
    <row r="1141" spans="1:1" x14ac:dyDescent="0.25">
      <c r="A1141" s="35"/>
    </row>
    <row r="1142" spans="1:1" x14ac:dyDescent="0.25">
      <c r="A1142" s="35"/>
    </row>
    <row r="1143" spans="1:1" x14ac:dyDescent="0.25">
      <c r="A1143" s="35"/>
    </row>
    <row r="1144" spans="1:1" x14ac:dyDescent="0.25">
      <c r="A1144" s="35"/>
    </row>
    <row r="1145" spans="1:1" x14ac:dyDescent="0.25">
      <c r="A1145" s="35"/>
    </row>
    <row r="1146" spans="1:1" x14ac:dyDescent="0.25">
      <c r="A1146" s="35"/>
    </row>
    <row r="1147" spans="1:1" x14ac:dyDescent="0.25">
      <c r="A1147" s="35"/>
    </row>
    <row r="1148" spans="1:1" x14ac:dyDescent="0.25">
      <c r="A1148" s="35"/>
    </row>
    <row r="1149" spans="1:1" x14ac:dyDescent="0.25">
      <c r="A1149" s="35"/>
    </row>
    <row r="1150" spans="1:1" x14ac:dyDescent="0.25">
      <c r="A1150" s="35"/>
    </row>
    <row r="1151" spans="1:1" x14ac:dyDescent="0.25">
      <c r="A1151" s="35"/>
    </row>
    <row r="1152" spans="1:1" x14ac:dyDescent="0.25">
      <c r="A1152" s="35"/>
    </row>
    <row r="1153" spans="1:1" x14ac:dyDescent="0.25">
      <c r="A1153" s="35"/>
    </row>
    <row r="1154" spans="1:1" x14ac:dyDescent="0.25">
      <c r="A1154" s="35"/>
    </row>
    <row r="1155" spans="1:1" x14ac:dyDescent="0.25">
      <c r="A1155" s="35"/>
    </row>
    <row r="1156" spans="1:1" x14ac:dyDescent="0.25">
      <c r="A1156" s="35"/>
    </row>
    <row r="1157" spans="1:1" x14ac:dyDescent="0.25">
      <c r="A1157" s="35"/>
    </row>
    <row r="1158" spans="1:1" x14ac:dyDescent="0.25">
      <c r="A1158" s="35"/>
    </row>
    <row r="1159" spans="1:1" x14ac:dyDescent="0.25">
      <c r="A1159" s="35"/>
    </row>
    <row r="1160" spans="1:1" x14ac:dyDescent="0.25">
      <c r="A1160" s="35"/>
    </row>
    <row r="1161" spans="1:1" x14ac:dyDescent="0.25">
      <c r="A1161" s="35"/>
    </row>
    <row r="1162" spans="1:1" x14ac:dyDescent="0.25">
      <c r="A1162" s="35"/>
    </row>
    <row r="1163" spans="1:1" x14ac:dyDescent="0.25">
      <c r="A1163" s="35"/>
    </row>
    <row r="1164" spans="1:1" x14ac:dyDescent="0.25">
      <c r="A1164" s="35"/>
    </row>
    <row r="1165" spans="1:1" x14ac:dyDescent="0.25">
      <c r="A1165" s="35"/>
    </row>
    <row r="1166" spans="1:1" x14ac:dyDescent="0.25">
      <c r="A1166" s="35"/>
    </row>
    <row r="1167" spans="1:1" x14ac:dyDescent="0.25">
      <c r="A1167" s="35"/>
    </row>
    <row r="1168" spans="1:1" x14ac:dyDescent="0.25">
      <c r="A1168" s="35"/>
    </row>
    <row r="1169" spans="1:1" x14ac:dyDescent="0.25">
      <c r="A1169" s="35"/>
    </row>
    <row r="1170" spans="1:1" x14ac:dyDescent="0.25">
      <c r="A1170" s="35"/>
    </row>
    <row r="1171" spans="1:1" x14ac:dyDescent="0.25">
      <c r="A1171" s="35"/>
    </row>
    <row r="1172" spans="1:1" x14ac:dyDescent="0.25">
      <c r="A1172" s="35"/>
    </row>
    <row r="1173" spans="1:1" x14ac:dyDescent="0.25">
      <c r="A1173" s="35"/>
    </row>
    <row r="1174" spans="1:1" x14ac:dyDescent="0.25">
      <c r="A1174" s="35"/>
    </row>
    <row r="1175" spans="1:1" x14ac:dyDescent="0.25">
      <c r="A1175" s="35"/>
    </row>
    <row r="1176" spans="1:1" x14ac:dyDescent="0.25">
      <c r="A1176" s="35"/>
    </row>
    <row r="1177" spans="1:1" x14ac:dyDescent="0.25">
      <c r="A1177" s="35"/>
    </row>
    <row r="1178" spans="1:1" x14ac:dyDescent="0.25">
      <c r="A1178" s="35"/>
    </row>
    <row r="1179" spans="1:1" x14ac:dyDescent="0.25">
      <c r="A1179" s="35"/>
    </row>
    <row r="1180" spans="1:1" x14ac:dyDescent="0.25">
      <c r="A1180" s="35"/>
    </row>
    <row r="1181" spans="1:1" x14ac:dyDescent="0.25">
      <c r="A1181" s="35"/>
    </row>
    <row r="1182" spans="1:1" x14ac:dyDescent="0.25">
      <c r="A1182" s="35"/>
    </row>
    <row r="1183" spans="1:1" x14ac:dyDescent="0.25">
      <c r="A1183" s="35"/>
    </row>
    <row r="1184" spans="1:1" x14ac:dyDescent="0.25">
      <c r="A1184" s="35"/>
    </row>
    <row r="1185" spans="1:1" x14ac:dyDescent="0.25">
      <c r="A1185" s="35"/>
    </row>
    <row r="1186" spans="1:1" x14ac:dyDescent="0.25">
      <c r="A1186" s="35"/>
    </row>
    <row r="1187" spans="1:1" x14ac:dyDescent="0.25">
      <c r="A1187" s="35"/>
    </row>
    <row r="1188" spans="1:1" x14ac:dyDescent="0.25">
      <c r="A1188" s="35"/>
    </row>
    <row r="1189" spans="1:1" x14ac:dyDescent="0.25">
      <c r="A1189" s="35"/>
    </row>
    <row r="1190" spans="1:1" x14ac:dyDescent="0.25">
      <c r="A1190" s="35"/>
    </row>
    <row r="1191" spans="1:1" x14ac:dyDescent="0.25">
      <c r="A1191" s="35"/>
    </row>
    <row r="1192" spans="1:1" x14ac:dyDescent="0.25">
      <c r="A1192" s="35"/>
    </row>
    <row r="1193" spans="1:1" x14ac:dyDescent="0.25">
      <c r="A1193" s="35"/>
    </row>
    <row r="1194" spans="1:1" x14ac:dyDescent="0.25">
      <c r="A1194" s="35"/>
    </row>
    <row r="1195" spans="1:1" x14ac:dyDescent="0.25">
      <c r="A1195" s="35"/>
    </row>
    <row r="1196" spans="1:1" x14ac:dyDescent="0.25">
      <c r="A1196" s="35"/>
    </row>
    <row r="1197" spans="1:1" x14ac:dyDescent="0.25">
      <c r="A1197" s="35"/>
    </row>
    <row r="1198" spans="1:1" x14ac:dyDescent="0.25">
      <c r="A1198" s="35"/>
    </row>
    <row r="1199" spans="1:1" x14ac:dyDescent="0.25">
      <c r="A1199" s="35"/>
    </row>
    <row r="1200" spans="1:1" x14ac:dyDescent="0.25">
      <c r="A1200" s="35"/>
    </row>
    <row r="1201" spans="1:1" x14ac:dyDescent="0.25">
      <c r="A1201" s="35"/>
    </row>
    <row r="1202" spans="1:1" x14ac:dyDescent="0.25">
      <c r="A1202" s="35"/>
    </row>
    <row r="1203" spans="1:1" x14ac:dyDescent="0.25">
      <c r="A1203" s="35"/>
    </row>
    <row r="1204" spans="1:1" x14ac:dyDescent="0.25">
      <c r="A1204" s="35"/>
    </row>
    <row r="1205" spans="1:1" x14ac:dyDescent="0.25">
      <c r="A1205" s="35"/>
    </row>
    <row r="1206" spans="1:1" x14ac:dyDescent="0.25">
      <c r="A1206" s="35"/>
    </row>
    <row r="1207" spans="1:1" x14ac:dyDescent="0.25">
      <c r="A1207" s="35"/>
    </row>
    <row r="1208" spans="1:1" x14ac:dyDescent="0.25">
      <c r="A1208" s="35"/>
    </row>
    <row r="1209" spans="1:1" x14ac:dyDescent="0.25">
      <c r="A1209" s="35"/>
    </row>
    <row r="1210" spans="1:1" x14ac:dyDescent="0.25">
      <c r="A1210" s="35"/>
    </row>
    <row r="1211" spans="1:1" x14ac:dyDescent="0.25">
      <c r="A1211" s="35"/>
    </row>
    <row r="1212" spans="1:1" x14ac:dyDescent="0.25">
      <c r="A1212" s="35"/>
    </row>
    <row r="1213" spans="1:1" x14ac:dyDescent="0.25">
      <c r="A1213" s="35"/>
    </row>
    <row r="1214" spans="1:1" x14ac:dyDescent="0.25">
      <c r="A1214" s="35"/>
    </row>
    <row r="1215" spans="1:1" x14ac:dyDescent="0.25">
      <c r="A1215" s="35"/>
    </row>
    <row r="1216" spans="1:1" x14ac:dyDescent="0.25">
      <c r="A1216" s="35"/>
    </row>
    <row r="1217" spans="1:1" x14ac:dyDescent="0.25">
      <c r="A1217" s="35"/>
    </row>
    <row r="1218" spans="1:1" x14ac:dyDescent="0.25">
      <c r="A1218" s="35"/>
    </row>
    <row r="1219" spans="1:1" x14ac:dyDescent="0.25">
      <c r="A1219" s="35"/>
    </row>
    <row r="1220" spans="1:1" x14ac:dyDescent="0.25">
      <c r="A1220" s="35"/>
    </row>
    <row r="1221" spans="1:1" x14ac:dyDescent="0.25">
      <c r="A1221" s="35"/>
    </row>
    <row r="1222" spans="1:1" x14ac:dyDescent="0.25">
      <c r="A1222" s="35"/>
    </row>
    <row r="1223" spans="1:1" x14ac:dyDescent="0.25">
      <c r="A1223" s="35"/>
    </row>
    <row r="1224" spans="1:1" x14ac:dyDescent="0.25">
      <c r="A1224" s="35"/>
    </row>
    <row r="1225" spans="1:1" x14ac:dyDescent="0.25">
      <c r="A1225" s="35"/>
    </row>
    <row r="1226" spans="1:1" x14ac:dyDescent="0.25">
      <c r="A1226" s="35"/>
    </row>
    <row r="1227" spans="1:1" x14ac:dyDescent="0.25">
      <c r="A1227" s="35"/>
    </row>
    <row r="1228" spans="1:1" x14ac:dyDescent="0.25">
      <c r="A1228" s="35"/>
    </row>
    <row r="1229" spans="1:1" x14ac:dyDescent="0.25">
      <c r="A1229" s="35"/>
    </row>
    <row r="1230" spans="1:1" x14ac:dyDescent="0.25">
      <c r="A1230" s="35"/>
    </row>
    <row r="1231" spans="1:1" x14ac:dyDescent="0.25">
      <c r="A1231" s="35"/>
    </row>
    <row r="1232" spans="1:1" x14ac:dyDescent="0.25">
      <c r="A1232" s="35"/>
    </row>
    <row r="1233" spans="1:1" x14ac:dyDescent="0.25">
      <c r="A1233" s="35"/>
    </row>
    <row r="1234" spans="1:1" x14ac:dyDescent="0.25">
      <c r="A1234" s="35"/>
    </row>
    <row r="1235" spans="1:1" x14ac:dyDescent="0.25">
      <c r="A1235" s="35"/>
    </row>
    <row r="1236" spans="1:1" x14ac:dyDescent="0.25">
      <c r="A1236" s="35"/>
    </row>
    <row r="1237" spans="1:1" x14ac:dyDescent="0.25">
      <c r="A1237" s="35"/>
    </row>
    <row r="1238" spans="1:1" x14ac:dyDescent="0.25">
      <c r="A1238" s="35"/>
    </row>
    <row r="1239" spans="1:1" x14ac:dyDescent="0.25">
      <c r="A1239" s="35"/>
    </row>
    <row r="1240" spans="1:1" x14ac:dyDescent="0.25">
      <c r="A1240" s="35"/>
    </row>
    <row r="1241" spans="1:1" x14ac:dyDescent="0.25">
      <c r="A1241" s="35"/>
    </row>
    <row r="1242" spans="1:1" x14ac:dyDescent="0.25">
      <c r="A1242" s="35"/>
    </row>
    <row r="1243" spans="1:1" x14ac:dyDescent="0.25">
      <c r="A1243" s="35"/>
    </row>
    <row r="1244" spans="1:1" x14ac:dyDescent="0.25">
      <c r="A1244" s="35"/>
    </row>
    <row r="1245" spans="1:1" x14ac:dyDescent="0.25">
      <c r="A1245" s="35"/>
    </row>
    <row r="1246" spans="1:1" x14ac:dyDescent="0.25">
      <c r="A1246" s="35"/>
    </row>
    <row r="1247" spans="1:1" x14ac:dyDescent="0.25">
      <c r="A1247" s="35"/>
    </row>
    <row r="1248" spans="1:1" x14ac:dyDescent="0.25">
      <c r="A1248" s="35"/>
    </row>
    <row r="1249" spans="1:1" x14ac:dyDescent="0.25">
      <c r="A1249" s="35"/>
    </row>
    <row r="1250" spans="1:1" x14ac:dyDescent="0.25">
      <c r="A1250" s="35"/>
    </row>
    <row r="1251" spans="1:1" x14ac:dyDescent="0.25">
      <c r="A1251" s="35"/>
    </row>
    <row r="1252" spans="1:1" x14ac:dyDescent="0.25">
      <c r="A1252" s="35"/>
    </row>
    <row r="1253" spans="1:1" x14ac:dyDescent="0.25">
      <c r="A1253" s="35"/>
    </row>
    <row r="1254" spans="1:1" x14ac:dyDescent="0.25">
      <c r="A1254" s="35"/>
    </row>
    <row r="1255" spans="1:1" x14ac:dyDescent="0.25">
      <c r="A1255" s="35"/>
    </row>
    <row r="1256" spans="1:1" x14ac:dyDescent="0.25">
      <c r="A1256" s="35"/>
    </row>
    <row r="1257" spans="1:1" x14ac:dyDescent="0.25">
      <c r="A1257" s="35"/>
    </row>
    <row r="1258" spans="1:1" x14ac:dyDescent="0.25">
      <c r="A1258" s="35"/>
    </row>
    <row r="1259" spans="1:1" x14ac:dyDescent="0.25">
      <c r="A1259" s="35"/>
    </row>
    <row r="1260" spans="1:1" x14ac:dyDescent="0.25">
      <c r="A1260" s="35"/>
    </row>
    <row r="1261" spans="1:1" x14ac:dyDescent="0.25">
      <c r="A1261" s="35"/>
    </row>
    <row r="1262" spans="1:1" x14ac:dyDescent="0.25">
      <c r="A1262" s="35"/>
    </row>
    <row r="1263" spans="1:1" x14ac:dyDescent="0.25">
      <c r="A1263" s="35"/>
    </row>
    <row r="1264" spans="1:1" x14ac:dyDescent="0.25">
      <c r="A1264" s="35"/>
    </row>
    <row r="1265" spans="1:1" x14ac:dyDescent="0.25">
      <c r="A1265" s="35"/>
    </row>
    <row r="1266" spans="1:1" x14ac:dyDescent="0.25">
      <c r="A1266" s="35"/>
    </row>
    <row r="1267" spans="1:1" x14ac:dyDescent="0.25">
      <c r="A1267" s="35"/>
    </row>
    <row r="1268" spans="1:1" x14ac:dyDescent="0.25">
      <c r="A1268" s="35"/>
    </row>
    <row r="1269" spans="1:1" x14ac:dyDescent="0.25">
      <c r="A1269" s="35"/>
    </row>
    <row r="1270" spans="1:1" x14ac:dyDescent="0.25">
      <c r="A1270" s="35"/>
    </row>
    <row r="1271" spans="1:1" x14ac:dyDescent="0.25">
      <c r="A1271" s="35"/>
    </row>
    <row r="1272" spans="1:1" x14ac:dyDescent="0.25">
      <c r="A1272" s="35"/>
    </row>
    <row r="1273" spans="1:1" x14ac:dyDescent="0.25">
      <c r="A1273" s="35"/>
    </row>
    <row r="1274" spans="1:1" x14ac:dyDescent="0.25">
      <c r="A1274" s="35"/>
    </row>
    <row r="1275" spans="1:1" x14ac:dyDescent="0.25">
      <c r="A1275" s="35"/>
    </row>
    <row r="1276" spans="1:1" x14ac:dyDescent="0.25">
      <c r="A1276" s="35"/>
    </row>
    <row r="1277" spans="1:1" x14ac:dyDescent="0.25">
      <c r="A1277" s="35"/>
    </row>
    <row r="1278" spans="1:1" x14ac:dyDescent="0.25">
      <c r="A1278" s="35"/>
    </row>
    <row r="1279" spans="1:1" x14ac:dyDescent="0.25">
      <c r="A1279" s="35"/>
    </row>
    <row r="1280" spans="1:1" x14ac:dyDescent="0.25">
      <c r="A1280" s="35"/>
    </row>
    <row r="1281" spans="1:1" x14ac:dyDescent="0.25">
      <c r="A1281" s="35"/>
    </row>
    <row r="1282" spans="1:1" x14ac:dyDescent="0.25">
      <c r="A1282" s="35"/>
    </row>
    <row r="1283" spans="1:1" x14ac:dyDescent="0.25">
      <c r="A1283" s="35"/>
    </row>
    <row r="1284" spans="1:1" x14ac:dyDescent="0.25">
      <c r="A1284" s="35"/>
    </row>
    <row r="1285" spans="1:1" x14ac:dyDescent="0.25">
      <c r="A1285" s="35"/>
    </row>
    <row r="1286" spans="1:1" x14ac:dyDescent="0.25">
      <c r="A1286" s="35"/>
    </row>
    <row r="1287" spans="1:1" x14ac:dyDescent="0.25">
      <c r="A1287" s="35"/>
    </row>
    <row r="1288" spans="1:1" x14ac:dyDescent="0.25">
      <c r="A1288" s="35"/>
    </row>
    <row r="1289" spans="1:1" x14ac:dyDescent="0.25">
      <c r="A1289" s="35"/>
    </row>
    <row r="1290" spans="1:1" x14ac:dyDescent="0.25">
      <c r="A1290" s="35"/>
    </row>
    <row r="1291" spans="1:1" x14ac:dyDescent="0.25">
      <c r="A1291" s="35"/>
    </row>
    <row r="1292" spans="1:1" x14ac:dyDescent="0.25">
      <c r="A1292" s="35"/>
    </row>
    <row r="1293" spans="1:1" x14ac:dyDescent="0.25">
      <c r="A1293" s="35"/>
    </row>
    <row r="1294" spans="1:1" x14ac:dyDescent="0.25">
      <c r="A1294" s="35"/>
    </row>
    <row r="1295" spans="1:1" x14ac:dyDescent="0.25">
      <c r="A1295" s="35"/>
    </row>
    <row r="1296" spans="1:1" x14ac:dyDescent="0.25">
      <c r="A1296" s="35"/>
    </row>
    <row r="1297" spans="1:1" x14ac:dyDescent="0.25">
      <c r="A1297" s="35"/>
    </row>
    <row r="1298" spans="1:1" x14ac:dyDescent="0.25">
      <c r="A1298" s="35"/>
    </row>
    <row r="1299" spans="1:1" x14ac:dyDescent="0.25">
      <c r="A1299" s="35"/>
    </row>
    <row r="1300" spans="1:1" x14ac:dyDescent="0.25">
      <c r="A1300" s="35"/>
    </row>
    <row r="1301" spans="1:1" x14ac:dyDescent="0.25">
      <c r="A1301" s="35"/>
    </row>
    <row r="1302" spans="1:1" x14ac:dyDescent="0.25">
      <c r="A1302" s="35"/>
    </row>
    <row r="1303" spans="1:1" x14ac:dyDescent="0.25">
      <c r="A1303" s="35"/>
    </row>
    <row r="1304" spans="1:1" x14ac:dyDescent="0.25">
      <c r="A1304" s="35"/>
    </row>
    <row r="1305" spans="1:1" x14ac:dyDescent="0.25">
      <c r="A1305" s="35"/>
    </row>
    <row r="1306" spans="1:1" x14ac:dyDescent="0.25">
      <c r="A1306" s="35"/>
    </row>
    <row r="1307" spans="1:1" x14ac:dyDescent="0.25">
      <c r="A1307" s="35"/>
    </row>
    <row r="1308" spans="1:1" x14ac:dyDescent="0.25">
      <c r="A1308" s="35"/>
    </row>
    <row r="1309" spans="1:1" x14ac:dyDescent="0.25">
      <c r="A1309" s="35"/>
    </row>
    <row r="1310" spans="1:1" x14ac:dyDescent="0.25">
      <c r="A1310" s="35"/>
    </row>
    <row r="1311" spans="1:1" x14ac:dyDescent="0.25">
      <c r="A1311" s="35"/>
    </row>
    <row r="1312" spans="1:1" x14ac:dyDescent="0.25">
      <c r="A1312" s="35"/>
    </row>
    <row r="1313" spans="1:1" x14ac:dyDescent="0.25">
      <c r="A1313" s="35"/>
    </row>
    <row r="1314" spans="1:1" x14ac:dyDescent="0.25">
      <c r="A1314" s="35"/>
    </row>
    <row r="1315" spans="1:1" x14ac:dyDescent="0.25">
      <c r="A1315" s="35"/>
    </row>
    <row r="1316" spans="1:1" x14ac:dyDescent="0.25">
      <c r="A1316" s="35"/>
    </row>
    <row r="1317" spans="1:1" x14ac:dyDescent="0.25">
      <c r="A1317" s="35"/>
    </row>
    <row r="1318" spans="1:1" x14ac:dyDescent="0.25">
      <c r="A1318" s="35"/>
    </row>
    <row r="1319" spans="1:1" x14ac:dyDescent="0.25">
      <c r="A1319" s="35"/>
    </row>
    <row r="1320" spans="1:1" x14ac:dyDescent="0.25">
      <c r="A1320" s="35"/>
    </row>
    <row r="1321" spans="1:1" x14ac:dyDescent="0.25">
      <c r="A1321" s="35"/>
    </row>
    <row r="1322" spans="1:1" x14ac:dyDescent="0.25">
      <c r="A1322" s="35"/>
    </row>
    <row r="1323" spans="1:1" x14ac:dyDescent="0.25">
      <c r="A1323" s="35"/>
    </row>
    <row r="1324" spans="1:1" x14ac:dyDescent="0.25">
      <c r="A1324" s="35"/>
    </row>
    <row r="1325" spans="1:1" x14ac:dyDescent="0.25">
      <c r="A1325" s="35"/>
    </row>
    <row r="1326" spans="1:1" x14ac:dyDescent="0.25">
      <c r="A1326" s="35"/>
    </row>
    <row r="1327" spans="1:1" x14ac:dyDescent="0.25">
      <c r="A1327" s="35"/>
    </row>
    <row r="1328" spans="1:1" x14ac:dyDescent="0.25">
      <c r="A1328" s="35"/>
    </row>
    <row r="1329" spans="1:1" x14ac:dyDescent="0.25">
      <c r="A1329" s="35"/>
    </row>
    <row r="1330" spans="1:1" x14ac:dyDescent="0.25">
      <c r="A1330" s="35"/>
    </row>
    <row r="1331" spans="1:1" x14ac:dyDescent="0.25">
      <c r="A1331" s="35"/>
    </row>
    <row r="1332" spans="1:1" x14ac:dyDescent="0.25">
      <c r="A1332" s="35"/>
    </row>
    <row r="1333" spans="1:1" x14ac:dyDescent="0.25">
      <c r="A1333" s="35"/>
    </row>
    <row r="1334" spans="1:1" x14ac:dyDescent="0.25">
      <c r="A1334" s="35"/>
    </row>
    <row r="1335" spans="1:1" x14ac:dyDescent="0.25">
      <c r="A1335" s="35"/>
    </row>
    <row r="1336" spans="1:1" x14ac:dyDescent="0.25">
      <c r="A1336" s="35"/>
    </row>
    <row r="1337" spans="1:1" x14ac:dyDescent="0.25">
      <c r="A1337" s="35"/>
    </row>
    <row r="1338" spans="1:1" x14ac:dyDescent="0.25">
      <c r="A1338" s="35"/>
    </row>
    <row r="1339" spans="1:1" x14ac:dyDescent="0.25">
      <c r="A1339" s="35"/>
    </row>
    <row r="1340" spans="1:1" x14ac:dyDescent="0.25">
      <c r="A1340" s="35"/>
    </row>
    <row r="1341" spans="1:1" x14ac:dyDescent="0.25">
      <c r="A1341" s="35"/>
    </row>
    <row r="1342" spans="1:1" x14ac:dyDescent="0.25">
      <c r="A1342" s="35"/>
    </row>
    <row r="1343" spans="1:1" x14ac:dyDescent="0.25">
      <c r="A1343" s="35"/>
    </row>
    <row r="1344" spans="1:1" x14ac:dyDescent="0.25">
      <c r="A1344" s="35"/>
    </row>
    <row r="1345" spans="1:1" x14ac:dyDescent="0.25">
      <c r="A1345" s="35"/>
    </row>
    <row r="1346" spans="1:1" x14ac:dyDescent="0.25">
      <c r="A1346" s="35"/>
    </row>
    <row r="1347" spans="1:1" x14ac:dyDescent="0.25">
      <c r="A1347" s="35"/>
    </row>
    <row r="1348" spans="1:1" x14ac:dyDescent="0.25">
      <c r="A1348" s="35"/>
    </row>
    <row r="1349" spans="1:1" x14ac:dyDescent="0.25">
      <c r="A1349" s="35"/>
    </row>
    <row r="1350" spans="1:1" x14ac:dyDescent="0.25">
      <c r="A1350" s="35"/>
    </row>
    <row r="1351" spans="1:1" x14ac:dyDescent="0.25">
      <c r="A1351" s="35"/>
    </row>
    <row r="1352" spans="1:1" x14ac:dyDescent="0.25">
      <c r="A1352" s="35"/>
    </row>
    <row r="1353" spans="1:1" x14ac:dyDescent="0.25">
      <c r="A1353" s="35"/>
    </row>
    <row r="1354" spans="1:1" x14ac:dyDescent="0.25">
      <c r="A1354" s="35"/>
    </row>
    <row r="1355" spans="1:1" x14ac:dyDescent="0.25">
      <c r="A1355" s="35"/>
    </row>
    <row r="1356" spans="1:1" x14ac:dyDescent="0.25">
      <c r="A1356" s="35"/>
    </row>
    <row r="1357" spans="1:1" x14ac:dyDescent="0.25">
      <c r="A1357" s="35"/>
    </row>
    <row r="1358" spans="1:1" x14ac:dyDescent="0.25">
      <c r="A1358" s="35"/>
    </row>
    <row r="1359" spans="1:1" x14ac:dyDescent="0.25">
      <c r="A1359" s="35"/>
    </row>
    <row r="1360" spans="1:1" x14ac:dyDescent="0.25">
      <c r="A1360" s="35"/>
    </row>
    <row r="1361" spans="1:1" x14ac:dyDescent="0.25">
      <c r="A1361" s="35"/>
    </row>
    <row r="1362" spans="1:1" x14ac:dyDescent="0.25">
      <c r="A1362" s="35"/>
    </row>
    <row r="1363" spans="1:1" x14ac:dyDescent="0.25">
      <c r="A1363" s="35"/>
    </row>
    <row r="1364" spans="1:1" x14ac:dyDescent="0.25">
      <c r="A1364" s="35"/>
    </row>
    <row r="1365" spans="1:1" x14ac:dyDescent="0.25">
      <c r="A1365" s="35"/>
    </row>
    <row r="1366" spans="1:1" x14ac:dyDescent="0.25">
      <c r="A1366" s="35"/>
    </row>
    <row r="1367" spans="1:1" x14ac:dyDescent="0.25">
      <c r="A1367" s="35"/>
    </row>
    <row r="1368" spans="1:1" x14ac:dyDescent="0.25">
      <c r="A1368" s="35"/>
    </row>
    <row r="1369" spans="1:1" x14ac:dyDescent="0.25">
      <c r="A1369" s="35"/>
    </row>
    <row r="1370" spans="1:1" x14ac:dyDescent="0.25">
      <c r="A1370" s="35"/>
    </row>
    <row r="1371" spans="1:1" x14ac:dyDescent="0.25">
      <c r="A1371" s="35"/>
    </row>
    <row r="1372" spans="1:1" x14ac:dyDescent="0.25">
      <c r="A1372" s="35"/>
    </row>
    <row r="1373" spans="1:1" x14ac:dyDescent="0.25">
      <c r="A1373" s="35"/>
    </row>
    <row r="1374" spans="1:1" x14ac:dyDescent="0.25">
      <c r="A1374" s="35"/>
    </row>
    <row r="1375" spans="1:1" x14ac:dyDescent="0.25">
      <c r="A1375" s="35"/>
    </row>
    <row r="1376" spans="1:1" x14ac:dyDescent="0.25">
      <c r="A1376" s="35"/>
    </row>
    <row r="1377" spans="1:1" x14ac:dyDescent="0.25">
      <c r="A1377" s="35"/>
    </row>
    <row r="1378" spans="1:1" x14ac:dyDescent="0.25">
      <c r="A1378" s="35"/>
    </row>
    <row r="1379" spans="1:1" x14ac:dyDescent="0.25">
      <c r="A1379" s="35"/>
    </row>
    <row r="1380" spans="1:1" x14ac:dyDescent="0.25">
      <c r="A1380" s="35"/>
    </row>
    <row r="1381" spans="1:1" x14ac:dyDescent="0.25">
      <c r="A1381" s="35"/>
    </row>
    <row r="1382" spans="1:1" x14ac:dyDescent="0.25">
      <c r="A1382" s="35"/>
    </row>
    <row r="1383" spans="1:1" x14ac:dyDescent="0.25">
      <c r="A1383" s="35"/>
    </row>
    <row r="1384" spans="1:1" x14ac:dyDescent="0.25">
      <c r="A1384" s="35"/>
    </row>
    <row r="1385" spans="1:1" x14ac:dyDescent="0.25">
      <c r="A1385" s="35"/>
    </row>
    <row r="1386" spans="1:1" x14ac:dyDescent="0.25">
      <c r="A1386" s="35"/>
    </row>
    <row r="1387" spans="1:1" x14ac:dyDescent="0.25">
      <c r="A1387" s="35"/>
    </row>
    <row r="1388" spans="1:1" x14ac:dyDescent="0.25">
      <c r="A1388" s="35"/>
    </row>
    <row r="1389" spans="1:1" x14ac:dyDescent="0.25">
      <c r="A1389" s="35"/>
    </row>
    <row r="1390" spans="1:1" x14ac:dyDescent="0.25">
      <c r="A1390" s="35"/>
    </row>
    <row r="1391" spans="1:1" x14ac:dyDescent="0.25">
      <c r="A1391" s="35"/>
    </row>
    <row r="1392" spans="1:1" x14ac:dyDescent="0.25">
      <c r="A1392" s="35"/>
    </row>
    <row r="1393" spans="1:1" x14ac:dyDescent="0.25">
      <c r="A1393" s="35"/>
    </row>
    <row r="1394" spans="1:1" x14ac:dyDescent="0.25">
      <c r="A1394" s="35"/>
    </row>
    <row r="1395" spans="1:1" x14ac:dyDescent="0.25">
      <c r="A1395" s="35"/>
    </row>
    <row r="1396" spans="1:1" x14ac:dyDescent="0.25">
      <c r="A1396" s="35"/>
    </row>
    <row r="1397" spans="1:1" x14ac:dyDescent="0.25">
      <c r="A1397" s="35"/>
    </row>
    <row r="1398" spans="1:1" x14ac:dyDescent="0.25">
      <c r="A1398" s="35"/>
    </row>
    <row r="1399" spans="1:1" x14ac:dyDescent="0.25">
      <c r="A1399" s="35"/>
    </row>
    <row r="1400" spans="1:1" x14ac:dyDescent="0.25">
      <c r="A1400" s="35"/>
    </row>
    <row r="1401" spans="1:1" x14ac:dyDescent="0.25">
      <c r="A1401" s="35"/>
    </row>
    <row r="1402" spans="1:1" x14ac:dyDescent="0.25">
      <c r="A1402" s="35"/>
    </row>
    <row r="1403" spans="1:1" x14ac:dyDescent="0.25">
      <c r="A1403" s="35"/>
    </row>
    <row r="1404" spans="1:1" x14ac:dyDescent="0.25">
      <c r="A1404" s="35"/>
    </row>
    <row r="1405" spans="1:1" x14ac:dyDescent="0.25">
      <c r="A1405" s="35"/>
    </row>
    <row r="1406" spans="1:1" x14ac:dyDescent="0.25">
      <c r="A1406" s="35"/>
    </row>
    <row r="1407" spans="1:1" x14ac:dyDescent="0.25">
      <c r="A1407" s="35"/>
    </row>
    <row r="1408" spans="1:1" x14ac:dyDescent="0.25">
      <c r="A1408" s="35"/>
    </row>
    <row r="1409" spans="1:1" x14ac:dyDescent="0.25">
      <c r="A1409" s="35"/>
    </row>
    <row r="1410" spans="1:1" x14ac:dyDescent="0.25">
      <c r="A1410" s="35"/>
    </row>
    <row r="1411" spans="1:1" x14ac:dyDescent="0.25">
      <c r="A1411" s="35"/>
    </row>
    <row r="1412" spans="1:1" x14ac:dyDescent="0.25">
      <c r="A1412" s="35"/>
    </row>
    <row r="1413" spans="1:1" x14ac:dyDescent="0.25">
      <c r="A1413" s="35"/>
    </row>
    <row r="1414" spans="1:1" x14ac:dyDescent="0.25">
      <c r="A1414" s="35"/>
    </row>
    <row r="1415" spans="1:1" x14ac:dyDescent="0.25">
      <c r="A1415" s="35"/>
    </row>
    <row r="1416" spans="1:1" x14ac:dyDescent="0.25">
      <c r="A1416" s="35"/>
    </row>
    <row r="1417" spans="1:1" x14ac:dyDescent="0.25">
      <c r="A1417" s="35"/>
    </row>
    <row r="1418" spans="1:1" x14ac:dyDescent="0.25">
      <c r="A1418" s="35"/>
    </row>
    <row r="1419" spans="1:1" x14ac:dyDescent="0.25">
      <c r="A1419" s="35"/>
    </row>
    <row r="1420" spans="1:1" x14ac:dyDescent="0.25">
      <c r="A1420" s="35"/>
    </row>
    <row r="1421" spans="1:1" x14ac:dyDescent="0.25">
      <c r="A1421" s="35"/>
    </row>
    <row r="1422" spans="1:1" x14ac:dyDescent="0.25">
      <c r="A1422" s="35"/>
    </row>
    <row r="1423" spans="1:1" x14ac:dyDescent="0.25">
      <c r="A1423" s="35"/>
    </row>
    <row r="1424" spans="1:1" x14ac:dyDescent="0.25">
      <c r="A1424" s="35"/>
    </row>
    <row r="1425" spans="1:1" x14ac:dyDescent="0.25">
      <c r="A1425" s="35"/>
    </row>
    <row r="1426" spans="1:1" x14ac:dyDescent="0.25">
      <c r="A1426" s="35"/>
    </row>
    <row r="1427" spans="1:1" x14ac:dyDescent="0.25">
      <c r="A1427" s="35"/>
    </row>
    <row r="1428" spans="1:1" x14ac:dyDescent="0.25">
      <c r="A1428" s="35"/>
    </row>
    <row r="1429" spans="1:1" x14ac:dyDescent="0.25">
      <c r="A1429" s="35"/>
    </row>
    <row r="1430" spans="1:1" x14ac:dyDescent="0.25">
      <c r="A1430" s="35"/>
    </row>
    <row r="1431" spans="1:1" x14ac:dyDescent="0.25">
      <c r="A1431" s="35"/>
    </row>
    <row r="1432" spans="1:1" x14ac:dyDescent="0.25">
      <c r="A1432" s="35"/>
    </row>
    <row r="1433" spans="1:1" x14ac:dyDescent="0.25">
      <c r="A1433" s="35"/>
    </row>
    <row r="1434" spans="1:1" x14ac:dyDescent="0.25">
      <c r="A1434" s="35"/>
    </row>
    <row r="1435" spans="1:1" x14ac:dyDescent="0.25">
      <c r="A1435" s="35"/>
    </row>
    <row r="1436" spans="1:1" x14ac:dyDescent="0.25">
      <c r="A1436" s="35"/>
    </row>
    <row r="1437" spans="1:1" x14ac:dyDescent="0.25">
      <c r="A1437" s="35"/>
    </row>
    <row r="1438" spans="1:1" x14ac:dyDescent="0.25">
      <c r="A1438" s="35"/>
    </row>
    <row r="1439" spans="1:1" x14ac:dyDescent="0.25">
      <c r="A1439" s="35"/>
    </row>
    <row r="1440" spans="1:1" x14ac:dyDescent="0.25">
      <c r="A1440" s="35"/>
    </row>
    <row r="1441" spans="1:1" x14ac:dyDescent="0.25">
      <c r="A1441" s="35"/>
    </row>
    <row r="1442" spans="1:1" x14ac:dyDescent="0.25">
      <c r="A1442" s="35"/>
    </row>
    <row r="1443" spans="1:1" x14ac:dyDescent="0.25">
      <c r="A1443" s="35"/>
    </row>
    <row r="1444" spans="1:1" x14ac:dyDescent="0.25">
      <c r="A1444" s="35"/>
    </row>
    <row r="1445" spans="1:1" x14ac:dyDescent="0.25">
      <c r="A1445" s="35"/>
    </row>
    <row r="1446" spans="1:1" x14ac:dyDescent="0.25">
      <c r="A1446" s="35"/>
    </row>
    <row r="1447" spans="1:1" x14ac:dyDescent="0.25">
      <c r="A1447" s="35"/>
    </row>
    <row r="1448" spans="1:1" x14ac:dyDescent="0.25">
      <c r="A1448" s="35"/>
    </row>
    <row r="1449" spans="1:1" x14ac:dyDescent="0.25">
      <c r="A1449" s="35"/>
    </row>
    <row r="1450" spans="1:1" x14ac:dyDescent="0.25">
      <c r="A1450" s="35"/>
    </row>
    <row r="1451" spans="1:1" x14ac:dyDescent="0.25">
      <c r="A1451" s="35"/>
    </row>
    <row r="1452" spans="1:1" x14ac:dyDescent="0.25">
      <c r="A1452" s="35"/>
    </row>
    <row r="1453" spans="1:1" x14ac:dyDescent="0.25">
      <c r="A1453" s="35"/>
    </row>
    <row r="1454" spans="1:1" x14ac:dyDescent="0.25">
      <c r="A1454" s="35"/>
    </row>
    <row r="1455" spans="1:1" x14ac:dyDescent="0.25">
      <c r="A1455" s="35"/>
    </row>
    <row r="1456" spans="1:1" x14ac:dyDescent="0.25">
      <c r="A1456" s="35"/>
    </row>
    <row r="1457" spans="1:1" x14ac:dyDescent="0.25">
      <c r="A1457" s="35"/>
    </row>
    <row r="1458" spans="1:1" x14ac:dyDescent="0.25">
      <c r="A1458" s="35"/>
    </row>
    <row r="1459" spans="1:1" x14ac:dyDescent="0.25">
      <c r="A1459" s="35"/>
    </row>
    <row r="1460" spans="1:1" x14ac:dyDescent="0.25">
      <c r="A1460" s="35"/>
    </row>
    <row r="1461" spans="1:1" x14ac:dyDescent="0.25">
      <c r="A1461" s="35"/>
    </row>
    <row r="1462" spans="1:1" x14ac:dyDescent="0.25">
      <c r="A1462" s="35"/>
    </row>
    <row r="1463" spans="1:1" x14ac:dyDescent="0.25">
      <c r="A1463" s="35"/>
    </row>
    <row r="1464" spans="1:1" x14ac:dyDescent="0.25">
      <c r="A1464" s="35"/>
    </row>
    <row r="1465" spans="1:1" x14ac:dyDescent="0.25">
      <c r="A1465" s="35"/>
    </row>
    <row r="1466" spans="1:1" x14ac:dyDescent="0.25">
      <c r="A1466" s="35"/>
    </row>
    <row r="1467" spans="1:1" x14ac:dyDescent="0.25">
      <c r="A1467" s="35"/>
    </row>
    <row r="1468" spans="1:1" x14ac:dyDescent="0.25">
      <c r="A1468" s="35"/>
    </row>
    <row r="1469" spans="1:1" x14ac:dyDescent="0.25">
      <c r="A1469" s="35"/>
    </row>
    <row r="1470" spans="1:1" x14ac:dyDescent="0.25">
      <c r="A1470" s="35"/>
    </row>
    <row r="1471" spans="1:1" x14ac:dyDescent="0.25">
      <c r="A1471" s="35"/>
    </row>
    <row r="1472" spans="1:1" x14ac:dyDescent="0.25">
      <c r="A1472" s="35"/>
    </row>
    <row r="1473" spans="1:1" x14ac:dyDescent="0.25">
      <c r="A1473" s="35"/>
    </row>
    <row r="1474" spans="1:1" x14ac:dyDescent="0.25">
      <c r="A1474" s="35"/>
    </row>
    <row r="1475" spans="1:1" x14ac:dyDescent="0.25">
      <c r="A1475" s="35"/>
    </row>
    <row r="1476" spans="1:1" x14ac:dyDescent="0.25">
      <c r="A1476" s="35"/>
    </row>
    <row r="1477" spans="1:1" x14ac:dyDescent="0.25">
      <c r="A1477" s="35"/>
    </row>
    <row r="1478" spans="1:1" x14ac:dyDescent="0.25">
      <c r="A1478" s="35"/>
    </row>
    <row r="1479" spans="1:1" x14ac:dyDescent="0.25">
      <c r="A1479" s="35"/>
    </row>
    <row r="1480" spans="1:1" x14ac:dyDescent="0.25">
      <c r="A1480" s="35"/>
    </row>
    <row r="1481" spans="1:1" x14ac:dyDescent="0.25">
      <c r="A1481" s="35"/>
    </row>
    <row r="1482" spans="1:1" x14ac:dyDescent="0.25">
      <c r="A1482" s="35"/>
    </row>
    <row r="1483" spans="1:1" x14ac:dyDescent="0.25">
      <c r="A1483" s="35"/>
    </row>
    <row r="1484" spans="1:1" x14ac:dyDescent="0.25">
      <c r="A1484" s="35"/>
    </row>
    <row r="1485" spans="1:1" x14ac:dyDescent="0.25">
      <c r="A1485" s="35"/>
    </row>
    <row r="1486" spans="1:1" x14ac:dyDescent="0.25">
      <c r="A1486" s="35"/>
    </row>
    <row r="1487" spans="1:1" x14ac:dyDescent="0.25">
      <c r="A1487" s="35"/>
    </row>
    <row r="1488" spans="1:1" x14ac:dyDescent="0.25">
      <c r="A1488" s="35"/>
    </row>
    <row r="1489" spans="1:1" x14ac:dyDescent="0.25">
      <c r="A1489" s="35"/>
    </row>
    <row r="1490" spans="1:1" x14ac:dyDescent="0.25">
      <c r="A1490" s="35"/>
    </row>
    <row r="1491" spans="1:1" x14ac:dyDescent="0.25">
      <c r="A1491" s="35"/>
    </row>
    <row r="1492" spans="1:1" x14ac:dyDescent="0.25">
      <c r="A1492" s="35"/>
    </row>
    <row r="1493" spans="1:1" x14ac:dyDescent="0.25">
      <c r="A1493" s="35"/>
    </row>
    <row r="1494" spans="1:1" x14ac:dyDescent="0.25">
      <c r="A1494" s="35"/>
    </row>
    <row r="1495" spans="1:1" x14ac:dyDescent="0.25">
      <c r="A1495" s="35"/>
    </row>
    <row r="1496" spans="1:1" x14ac:dyDescent="0.25">
      <c r="A1496" s="35"/>
    </row>
    <row r="1497" spans="1:1" x14ac:dyDescent="0.25">
      <c r="A1497" s="35"/>
    </row>
    <row r="1498" spans="1:1" x14ac:dyDescent="0.25">
      <c r="A1498" s="35"/>
    </row>
    <row r="1499" spans="1:1" x14ac:dyDescent="0.25">
      <c r="A1499" s="35"/>
    </row>
    <row r="1500" spans="1:1" x14ac:dyDescent="0.25">
      <c r="A1500" s="35"/>
    </row>
    <row r="1501" spans="1:1" x14ac:dyDescent="0.25">
      <c r="A1501" s="35"/>
    </row>
    <row r="1502" spans="1:1" x14ac:dyDescent="0.25">
      <c r="A1502" s="35"/>
    </row>
    <row r="1503" spans="1:1" x14ac:dyDescent="0.25">
      <c r="A1503" s="35"/>
    </row>
    <row r="1504" spans="1:1" x14ac:dyDescent="0.25">
      <c r="A1504" s="35"/>
    </row>
    <row r="1505" spans="1:1" x14ac:dyDescent="0.25">
      <c r="A1505" s="35"/>
    </row>
    <row r="1506" spans="1:1" x14ac:dyDescent="0.25">
      <c r="A1506" s="35"/>
    </row>
    <row r="1507" spans="1:1" x14ac:dyDescent="0.25">
      <c r="A1507" s="35"/>
    </row>
    <row r="1508" spans="1:1" x14ac:dyDescent="0.25">
      <c r="A1508" s="35"/>
    </row>
    <row r="1509" spans="1:1" x14ac:dyDescent="0.25">
      <c r="A1509" s="35"/>
    </row>
    <row r="1510" spans="1:1" x14ac:dyDescent="0.25">
      <c r="A1510" s="35"/>
    </row>
    <row r="1511" spans="1:1" x14ac:dyDescent="0.25">
      <c r="A1511" s="35"/>
    </row>
    <row r="1512" spans="1:1" x14ac:dyDescent="0.25">
      <c r="A1512" s="35"/>
    </row>
    <row r="1513" spans="1:1" x14ac:dyDescent="0.25">
      <c r="A1513" s="35"/>
    </row>
    <row r="1514" spans="1:1" x14ac:dyDescent="0.25">
      <c r="A1514" s="35"/>
    </row>
    <row r="1515" spans="1:1" x14ac:dyDescent="0.25">
      <c r="A1515" s="35"/>
    </row>
    <row r="1516" spans="1:1" x14ac:dyDescent="0.25">
      <c r="A1516" s="35"/>
    </row>
    <row r="1517" spans="1:1" x14ac:dyDescent="0.25">
      <c r="A1517" s="35"/>
    </row>
    <row r="1518" spans="1:1" x14ac:dyDescent="0.25">
      <c r="A1518" s="35"/>
    </row>
    <row r="1519" spans="1:1" x14ac:dyDescent="0.25">
      <c r="A1519" s="35"/>
    </row>
    <row r="1520" spans="1:1" x14ac:dyDescent="0.25">
      <c r="A1520" s="35"/>
    </row>
    <row r="1521" spans="1:1" x14ac:dyDescent="0.25">
      <c r="A1521" s="35"/>
    </row>
    <row r="1522" spans="1:1" x14ac:dyDescent="0.25">
      <c r="A1522" s="35"/>
    </row>
    <row r="1523" spans="1:1" x14ac:dyDescent="0.25">
      <c r="A1523" s="35"/>
    </row>
    <row r="1524" spans="1:1" x14ac:dyDescent="0.25">
      <c r="A1524" s="35"/>
    </row>
    <row r="1525" spans="1:1" x14ac:dyDescent="0.25">
      <c r="A1525" s="35"/>
    </row>
    <row r="1526" spans="1:1" x14ac:dyDescent="0.25">
      <c r="A1526" s="35"/>
    </row>
    <row r="1527" spans="1:1" x14ac:dyDescent="0.25">
      <c r="A1527" s="35"/>
    </row>
    <row r="1528" spans="1:1" x14ac:dyDescent="0.25">
      <c r="A1528" s="35"/>
    </row>
    <row r="1529" spans="1:1" x14ac:dyDescent="0.25">
      <c r="A1529" s="35"/>
    </row>
    <row r="1530" spans="1:1" x14ac:dyDescent="0.25">
      <c r="A1530" s="35"/>
    </row>
    <row r="1531" spans="1:1" x14ac:dyDescent="0.25">
      <c r="A1531" s="35"/>
    </row>
    <row r="1532" spans="1:1" x14ac:dyDescent="0.25">
      <c r="A1532" s="35"/>
    </row>
    <row r="1533" spans="1:1" x14ac:dyDescent="0.25">
      <c r="A1533" s="35"/>
    </row>
    <row r="1534" spans="1:1" x14ac:dyDescent="0.25">
      <c r="A1534" s="35"/>
    </row>
    <row r="1535" spans="1:1" x14ac:dyDescent="0.25">
      <c r="A1535" s="35"/>
    </row>
    <row r="1536" spans="1:1" x14ac:dyDescent="0.25">
      <c r="A1536" s="35"/>
    </row>
    <row r="1537" spans="1:1" x14ac:dyDescent="0.25">
      <c r="A1537" s="35"/>
    </row>
    <row r="1538" spans="1:1" x14ac:dyDescent="0.25">
      <c r="A1538" s="35"/>
    </row>
    <row r="1539" spans="1:1" x14ac:dyDescent="0.25">
      <c r="A1539" s="35"/>
    </row>
    <row r="1540" spans="1:1" x14ac:dyDescent="0.25">
      <c r="A1540" s="35"/>
    </row>
    <row r="1541" spans="1:1" x14ac:dyDescent="0.25">
      <c r="A1541" s="35"/>
    </row>
    <row r="1542" spans="1:1" x14ac:dyDescent="0.25">
      <c r="A1542" s="35"/>
    </row>
    <row r="1543" spans="1:1" x14ac:dyDescent="0.25">
      <c r="A1543" s="35"/>
    </row>
    <row r="1544" spans="1:1" x14ac:dyDescent="0.25">
      <c r="A1544" s="35"/>
    </row>
    <row r="1545" spans="1:1" x14ac:dyDescent="0.25">
      <c r="A1545" s="35"/>
    </row>
    <row r="1546" spans="1:1" x14ac:dyDescent="0.25">
      <c r="A1546" s="35"/>
    </row>
    <row r="1547" spans="1:1" x14ac:dyDescent="0.25">
      <c r="A1547" s="35"/>
    </row>
    <row r="1548" spans="1:1" x14ac:dyDescent="0.25">
      <c r="A1548" s="35"/>
    </row>
    <row r="1549" spans="1:1" x14ac:dyDescent="0.25">
      <c r="A1549" s="35"/>
    </row>
    <row r="1550" spans="1:1" x14ac:dyDescent="0.25">
      <c r="A1550" s="35"/>
    </row>
    <row r="1551" spans="1:1" x14ac:dyDescent="0.25">
      <c r="A1551" s="35"/>
    </row>
    <row r="1552" spans="1:1" x14ac:dyDescent="0.25">
      <c r="A1552" s="35"/>
    </row>
    <row r="1553" spans="1:1" x14ac:dyDescent="0.25">
      <c r="A1553" s="35"/>
    </row>
    <row r="1554" spans="1:1" x14ac:dyDescent="0.25">
      <c r="A1554" s="35"/>
    </row>
    <row r="1555" spans="1:1" x14ac:dyDescent="0.25">
      <c r="A1555" s="35"/>
    </row>
    <row r="1556" spans="1:1" x14ac:dyDescent="0.25">
      <c r="A1556" s="35"/>
    </row>
    <row r="1557" spans="1:1" x14ac:dyDescent="0.25">
      <c r="A1557" s="35"/>
    </row>
    <row r="1558" spans="1:1" x14ac:dyDescent="0.25">
      <c r="A1558" s="35"/>
    </row>
    <row r="1559" spans="1:1" x14ac:dyDescent="0.25">
      <c r="A1559" s="35"/>
    </row>
    <row r="1560" spans="1:1" x14ac:dyDescent="0.25">
      <c r="A1560" s="35"/>
    </row>
    <row r="1561" spans="1:1" x14ac:dyDescent="0.25">
      <c r="A1561" s="35"/>
    </row>
    <row r="1562" spans="1:1" x14ac:dyDescent="0.25">
      <c r="A1562" s="35"/>
    </row>
    <row r="1563" spans="1:1" x14ac:dyDescent="0.25">
      <c r="A1563" s="35"/>
    </row>
    <row r="1564" spans="1:1" x14ac:dyDescent="0.25">
      <c r="A1564" s="35"/>
    </row>
    <row r="1565" spans="1:1" x14ac:dyDescent="0.25">
      <c r="A1565" s="35"/>
    </row>
    <row r="1566" spans="1:1" x14ac:dyDescent="0.25">
      <c r="A1566" s="35"/>
    </row>
    <row r="1567" spans="1:1" x14ac:dyDescent="0.25">
      <c r="A1567" s="35"/>
    </row>
    <row r="1568" spans="1:1" x14ac:dyDescent="0.25">
      <c r="A1568" s="35"/>
    </row>
    <row r="1569" spans="1:1" x14ac:dyDescent="0.25">
      <c r="A1569" s="35"/>
    </row>
    <row r="1570" spans="1:1" x14ac:dyDescent="0.25">
      <c r="A1570" s="35"/>
    </row>
    <row r="1571" spans="1:1" x14ac:dyDescent="0.25">
      <c r="A1571" s="35"/>
    </row>
    <row r="1572" spans="1:1" x14ac:dyDescent="0.25">
      <c r="A1572" s="35"/>
    </row>
    <row r="1573" spans="1:1" x14ac:dyDescent="0.25">
      <c r="A1573" s="35"/>
    </row>
    <row r="1574" spans="1:1" x14ac:dyDescent="0.25">
      <c r="A1574" s="35"/>
    </row>
    <row r="1575" spans="1:1" x14ac:dyDescent="0.25">
      <c r="A1575" s="35"/>
    </row>
    <row r="1576" spans="1:1" x14ac:dyDescent="0.25">
      <c r="A1576" s="35"/>
    </row>
    <row r="1577" spans="1:1" x14ac:dyDescent="0.25">
      <c r="A1577" s="35"/>
    </row>
    <row r="1578" spans="1:1" x14ac:dyDescent="0.25">
      <c r="A1578" s="35"/>
    </row>
    <row r="1579" spans="1:1" x14ac:dyDescent="0.25">
      <c r="A1579" s="35"/>
    </row>
    <row r="1580" spans="1:1" x14ac:dyDescent="0.25">
      <c r="A1580" s="35"/>
    </row>
    <row r="1581" spans="1:1" x14ac:dyDescent="0.25">
      <c r="A1581" s="35"/>
    </row>
    <row r="1582" spans="1:1" x14ac:dyDescent="0.25">
      <c r="A1582" s="35"/>
    </row>
    <row r="1583" spans="1:1" x14ac:dyDescent="0.25">
      <c r="A1583" s="35"/>
    </row>
    <row r="1584" spans="1:1" x14ac:dyDescent="0.25">
      <c r="A1584" s="35"/>
    </row>
    <row r="1585" spans="1:1" x14ac:dyDescent="0.25">
      <c r="A1585" s="35"/>
    </row>
    <row r="1586" spans="1:1" x14ac:dyDescent="0.25">
      <c r="A1586" s="35"/>
    </row>
    <row r="1587" spans="1:1" x14ac:dyDescent="0.25">
      <c r="A1587" s="35"/>
    </row>
    <row r="1588" spans="1:1" x14ac:dyDescent="0.25">
      <c r="A1588" s="35"/>
    </row>
    <row r="1589" spans="1:1" x14ac:dyDescent="0.25">
      <c r="A1589" s="35"/>
    </row>
    <row r="1590" spans="1:1" x14ac:dyDescent="0.25">
      <c r="A1590" s="35"/>
    </row>
    <row r="1591" spans="1:1" x14ac:dyDescent="0.25">
      <c r="A1591" s="35"/>
    </row>
    <row r="1592" spans="1:1" x14ac:dyDescent="0.25">
      <c r="A1592" s="35"/>
    </row>
    <row r="1593" spans="1:1" x14ac:dyDescent="0.25">
      <c r="A1593" s="35"/>
    </row>
    <row r="1594" spans="1:1" x14ac:dyDescent="0.25">
      <c r="A1594" s="35"/>
    </row>
    <row r="1595" spans="1:1" x14ac:dyDescent="0.25">
      <c r="A1595" s="35"/>
    </row>
    <row r="1596" spans="1:1" x14ac:dyDescent="0.25">
      <c r="A1596" s="35"/>
    </row>
    <row r="1597" spans="1:1" x14ac:dyDescent="0.25">
      <c r="A1597" s="35"/>
    </row>
    <row r="1598" spans="1:1" x14ac:dyDescent="0.25">
      <c r="A1598" s="35"/>
    </row>
    <row r="1599" spans="1:1" x14ac:dyDescent="0.25">
      <c r="A1599" s="35"/>
    </row>
    <row r="1600" spans="1:1" x14ac:dyDescent="0.25">
      <c r="A1600" s="35"/>
    </row>
    <row r="1601" spans="1:1" x14ac:dyDescent="0.25">
      <c r="A1601" s="35"/>
    </row>
    <row r="1602" spans="1:1" x14ac:dyDescent="0.25">
      <c r="A1602" s="35"/>
    </row>
    <row r="1603" spans="1:1" x14ac:dyDescent="0.25">
      <c r="A1603" s="35"/>
    </row>
    <row r="1604" spans="1:1" x14ac:dyDescent="0.25">
      <c r="A1604" s="35"/>
    </row>
    <row r="1605" spans="1:1" x14ac:dyDescent="0.25">
      <c r="A1605" s="35"/>
    </row>
    <row r="1606" spans="1:1" x14ac:dyDescent="0.25">
      <c r="A1606" s="35"/>
    </row>
    <row r="1607" spans="1:1" x14ac:dyDescent="0.25">
      <c r="A1607" s="35"/>
    </row>
    <row r="1608" spans="1:1" x14ac:dyDescent="0.25">
      <c r="A1608" s="35"/>
    </row>
    <row r="1609" spans="1:1" x14ac:dyDescent="0.25">
      <c r="A1609" s="35"/>
    </row>
    <row r="1610" spans="1:1" x14ac:dyDescent="0.25">
      <c r="A1610" s="35"/>
    </row>
    <row r="1611" spans="1:1" x14ac:dyDescent="0.25">
      <c r="A1611" s="35"/>
    </row>
    <row r="1612" spans="1:1" x14ac:dyDescent="0.25">
      <c r="A1612" s="35"/>
    </row>
    <row r="1613" spans="1:1" x14ac:dyDescent="0.25">
      <c r="A1613" s="35"/>
    </row>
    <row r="1614" spans="1:1" x14ac:dyDescent="0.25">
      <c r="A1614" s="35"/>
    </row>
    <row r="1615" spans="1:1" x14ac:dyDescent="0.25">
      <c r="A1615" s="35"/>
    </row>
    <row r="1616" spans="1:1" x14ac:dyDescent="0.25">
      <c r="A1616" s="35"/>
    </row>
    <row r="1617" spans="1:1" x14ac:dyDescent="0.25">
      <c r="A1617" s="35"/>
    </row>
    <row r="1618" spans="1:1" x14ac:dyDescent="0.25">
      <c r="A1618" s="35"/>
    </row>
    <row r="1619" spans="1:1" x14ac:dyDescent="0.25">
      <c r="A1619" s="35"/>
    </row>
    <row r="1620" spans="1:1" x14ac:dyDescent="0.25">
      <c r="A1620" s="35"/>
    </row>
    <row r="1621" spans="1:1" x14ac:dyDescent="0.25">
      <c r="A1621" s="35"/>
    </row>
    <row r="1622" spans="1:1" x14ac:dyDescent="0.25">
      <c r="A1622" s="35"/>
    </row>
    <row r="1623" spans="1:1" x14ac:dyDescent="0.25">
      <c r="A1623" s="35"/>
    </row>
    <row r="1624" spans="1:1" x14ac:dyDescent="0.25">
      <c r="A1624" s="35"/>
    </row>
    <row r="1625" spans="1:1" x14ac:dyDescent="0.25">
      <c r="A1625" s="35"/>
    </row>
    <row r="1626" spans="1:1" x14ac:dyDescent="0.25">
      <c r="A1626" s="35"/>
    </row>
    <row r="1627" spans="1:1" x14ac:dyDescent="0.25">
      <c r="A1627" s="35"/>
    </row>
    <row r="1628" spans="1:1" x14ac:dyDescent="0.25">
      <c r="A1628" s="35"/>
    </row>
    <row r="1629" spans="1:1" x14ac:dyDescent="0.25">
      <c r="A1629" s="35"/>
    </row>
    <row r="1630" spans="1:1" x14ac:dyDescent="0.25">
      <c r="A1630" s="35"/>
    </row>
    <row r="1631" spans="1:1" x14ac:dyDescent="0.25">
      <c r="A1631" s="35"/>
    </row>
    <row r="1632" spans="1:1" x14ac:dyDescent="0.25">
      <c r="A1632" s="35"/>
    </row>
    <row r="1633" spans="1:1" x14ac:dyDescent="0.25">
      <c r="A1633" s="35"/>
    </row>
    <row r="1634" spans="1:1" x14ac:dyDescent="0.25">
      <c r="A1634" s="35"/>
    </row>
    <row r="1635" spans="1:1" x14ac:dyDescent="0.25">
      <c r="A1635" s="35"/>
    </row>
    <row r="1636" spans="1:1" x14ac:dyDescent="0.25">
      <c r="A1636" s="35"/>
    </row>
    <row r="1637" spans="1:1" x14ac:dyDescent="0.25">
      <c r="A1637" s="35"/>
    </row>
    <row r="1638" spans="1:1" x14ac:dyDescent="0.25">
      <c r="A1638" s="35"/>
    </row>
    <row r="1639" spans="1:1" x14ac:dyDescent="0.25">
      <c r="A1639" s="35"/>
    </row>
    <row r="1640" spans="1:1" x14ac:dyDescent="0.25">
      <c r="A1640" s="35"/>
    </row>
    <row r="1641" spans="1:1" x14ac:dyDescent="0.25">
      <c r="A1641" s="35"/>
    </row>
    <row r="1642" spans="1:1" x14ac:dyDescent="0.25">
      <c r="A1642" s="35"/>
    </row>
    <row r="1643" spans="1:1" x14ac:dyDescent="0.25">
      <c r="A1643" s="35"/>
    </row>
    <row r="1644" spans="1:1" x14ac:dyDescent="0.25">
      <c r="A1644" s="35"/>
    </row>
    <row r="1645" spans="1:1" x14ac:dyDescent="0.25">
      <c r="A1645" s="35"/>
    </row>
    <row r="1646" spans="1:1" x14ac:dyDescent="0.25">
      <c r="A1646" s="35"/>
    </row>
    <row r="1647" spans="1:1" x14ac:dyDescent="0.25">
      <c r="A1647" s="35"/>
    </row>
    <row r="1648" spans="1:1" x14ac:dyDescent="0.25">
      <c r="A1648" s="35"/>
    </row>
    <row r="1649" spans="1:1" x14ac:dyDescent="0.25">
      <c r="A1649" s="35"/>
    </row>
    <row r="1650" spans="1:1" x14ac:dyDescent="0.25">
      <c r="A1650" s="35"/>
    </row>
    <row r="1651" spans="1:1" x14ac:dyDescent="0.25">
      <c r="A1651" s="35"/>
    </row>
    <row r="1652" spans="1:1" x14ac:dyDescent="0.25">
      <c r="A1652" s="35"/>
    </row>
    <row r="1653" spans="1:1" x14ac:dyDescent="0.25">
      <c r="A1653" s="35"/>
    </row>
    <row r="1654" spans="1:1" x14ac:dyDescent="0.25">
      <c r="A1654" s="35"/>
    </row>
    <row r="1655" spans="1:1" x14ac:dyDescent="0.25">
      <c r="A1655" s="35"/>
    </row>
    <row r="1656" spans="1:1" x14ac:dyDescent="0.25">
      <c r="A1656" s="35"/>
    </row>
    <row r="1657" spans="1:1" x14ac:dyDescent="0.25">
      <c r="A1657" s="35"/>
    </row>
    <row r="1658" spans="1:1" x14ac:dyDescent="0.25">
      <c r="A1658" s="35"/>
    </row>
    <row r="1659" spans="1:1" x14ac:dyDescent="0.25">
      <c r="A1659" s="35"/>
    </row>
    <row r="1660" spans="1:1" x14ac:dyDescent="0.25">
      <c r="A1660" s="35"/>
    </row>
    <row r="1661" spans="1:1" x14ac:dyDescent="0.25">
      <c r="A1661" s="35"/>
    </row>
    <row r="1662" spans="1:1" x14ac:dyDescent="0.25">
      <c r="A1662" s="35"/>
    </row>
    <row r="1663" spans="1:1" x14ac:dyDescent="0.25">
      <c r="A1663" s="35"/>
    </row>
    <row r="1664" spans="1:1" x14ac:dyDescent="0.25">
      <c r="A1664" s="35"/>
    </row>
    <row r="1665" spans="1:1" x14ac:dyDescent="0.25">
      <c r="A1665" s="35"/>
    </row>
    <row r="1666" spans="1:1" x14ac:dyDescent="0.25">
      <c r="A1666" s="35"/>
    </row>
    <row r="1667" spans="1:1" x14ac:dyDescent="0.25">
      <c r="A1667" s="35"/>
    </row>
    <row r="1668" spans="1:1" x14ac:dyDescent="0.25">
      <c r="A1668" s="35"/>
    </row>
    <row r="1669" spans="1:1" x14ac:dyDescent="0.25">
      <c r="A1669" s="35"/>
    </row>
    <row r="1670" spans="1:1" x14ac:dyDescent="0.25">
      <c r="A1670" s="35"/>
    </row>
    <row r="1671" spans="1:1" x14ac:dyDescent="0.25">
      <c r="A1671" s="35"/>
    </row>
    <row r="1672" spans="1:1" x14ac:dyDescent="0.25">
      <c r="A1672" s="35"/>
    </row>
    <row r="1673" spans="1:1" x14ac:dyDescent="0.25">
      <c r="A1673" s="35"/>
    </row>
    <row r="1674" spans="1:1" x14ac:dyDescent="0.25">
      <c r="A1674" s="35"/>
    </row>
    <row r="1675" spans="1:1" x14ac:dyDescent="0.25">
      <c r="A1675" s="35"/>
    </row>
    <row r="1676" spans="1:1" x14ac:dyDescent="0.25">
      <c r="A1676" s="35"/>
    </row>
    <row r="1677" spans="1:1" x14ac:dyDescent="0.25">
      <c r="A1677" s="35"/>
    </row>
    <row r="1678" spans="1:1" x14ac:dyDescent="0.25">
      <c r="A1678" s="35"/>
    </row>
    <row r="1679" spans="1:1" x14ac:dyDescent="0.25">
      <c r="A1679" s="35"/>
    </row>
    <row r="1680" spans="1:1" x14ac:dyDescent="0.25">
      <c r="A1680" s="35"/>
    </row>
    <row r="1681" spans="1:1" x14ac:dyDescent="0.25">
      <c r="A1681" s="35"/>
    </row>
    <row r="1682" spans="1:1" x14ac:dyDescent="0.25">
      <c r="A1682" s="35"/>
    </row>
    <row r="1683" spans="1:1" x14ac:dyDescent="0.25">
      <c r="A1683" s="35"/>
    </row>
    <row r="1684" spans="1:1" x14ac:dyDescent="0.25">
      <c r="A1684" s="35"/>
    </row>
    <row r="1685" spans="1:1" x14ac:dyDescent="0.25">
      <c r="A1685" s="35"/>
    </row>
    <row r="1686" spans="1:1" x14ac:dyDescent="0.25">
      <c r="A1686" s="35"/>
    </row>
    <row r="1687" spans="1:1" x14ac:dyDescent="0.25">
      <c r="A1687" s="35"/>
    </row>
    <row r="1688" spans="1:1" x14ac:dyDescent="0.25">
      <c r="A1688" s="35"/>
    </row>
    <row r="1689" spans="1:1" x14ac:dyDescent="0.25">
      <c r="A1689" s="35"/>
    </row>
    <row r="1690" spans="1:1" x14ac:dyDescent="0.25">
      <c r="A1690" s="35"/>
    </row>
    <row r="1691" spans="1:1" x14ac:dyDescent="0.25">
      <c r="A1691" s="35"/>
    </row>
    <row r="1692" spans="1:1" x14ac:dyDescent="0.25">
      <c r="A1692" s="35"/>
    </row>
    <row r="1693" spans="1:1" x14ac:dyDescent="0.25">
      <c r="A1693" s="35"/>
    </row>
    <row r="1694" spans="1:1" x14ac:dyDescent="0.25">
      <c r="A1694" s="35"/>
    </row>
    <row r="1695" spans="1:1" x14ac:dyDescent="0.25">
      <c r="A1695" s="35"/>
    </row>
    <row r="1696" spans="1:1" x14ac:dyDescent="0.25">
      <c r="A1696" s="35"/>
    </row>
    <row r="1697" spans="1:1" x14ac:dyDescent="0.25">
      <c r="A1697" s="35"/>
    </row>
    <row r="1698" spans="1:1" x14ac:dyDescent="0.25">
      <c r="A1698" s="35"/>
    </row>
    <row r="1699" spans="1:1" x14ac:dyDescent="0.25">
      <c r="A1699" s="35"/>
    </row>
    <row r="1700" spans="1:1" x14ac:dyDescent="0.25">
      <c r="A1700" s="35"/>
    </row>
    <row r="1701" spans="1:1" x14ac:dyDescent="0.25">
      <c r="A1701" s="35"/>
    </row>
    <row r="1702" spans="1:1" x14ac:dyDescent="0.25">
      <c r="A1702" s="35"/>
    </row>
    <row r="1703" spans="1:1" x14ac:dyDescent="0.25">
      <c r="A1703" s="35"/>
    </row>
    <row r="1704" spans="1:1" x14ac:dyDescent="0.25">
      <c r="A1704" s="35"/>
    </row>
    <row r="1705" spans="1:1" x14ac:dyDescent="0.25">
      <c r="A1705" s="35"/>
    </row>
    <row r="1706" spans="1:1" x14ac:dyDescent="0.25">
      <c r="A1706" s="35"/>
    </row>
    <row r="1707" spans="1:1" x14ac:dyDescent="0.25">
      <c r="A1707" s="35"/>
    </row>
    <row r="1708" spans="1:1" x14ac:dyDescent="0.25">
      <c r="A1708" s="35"/>
    </row>
    <row r="1709" spans="1:1" x14ac:dyDescent="0.25">
      <c r="A1709" s="35"/>
    </row>
    <row r="1710" spans="1:1" x14ac:dyDescent="0.25">
      <c r="A1710" s="35"/>
    </row>
    <row r="1711" spans="1:1" x14ac:dyDescent="0.25">
      <c r="A1711" s="35"/>
    </row>
    <row r="1712" spans="1:1" x14ac:dyDescent="0.25">
      <c r="A1712" s="35"/>
    </row>
    <row r="1713" spans="1:1" x14ac:dyDescent="0.25">
      <c r="A1713" s="35"/>
    </row>
    <row r="1714" spans="1:1" x14ac:dyDescent="0.25">
      <c r="A1714" s="35"/>
    </row>
    <row r="1715" spans="1:1" x14ac:dyDescent="0.25">
      <c r="A1715" s="35"/>
    </row>
    <row r="1716" spans="1:1" x14ac:dyDescent="0.25">
      <c r="A1716" s="35"/>
    </row>
    <row r="1717" spans="1:1" x14ac:dyDescent="0.25">
      <c r="A1717" s="35"/>
    </row>
    <row r="1718" spans="1:1" x14ac:dyDescent="0.25">
      <c r="A1718" s="35"/>
    </row>
    <row r="1719" spans="1:1" x14ac:dyDescent="0.25">
      <c r="A1719" s="35"/>
    </row>
    <row r="1720" spans="1:1" x14ac:dyDescent="0.25">
      <c r="A1720" s="35"/>
    </row>
    <row r="1721" spans="1:1" x14ac:dyDescent="0.25">
      <c r="A1721" s="35"/>
    </row>
    <row r="1722" spans="1:1" x14ac:dyDescent="0.25">
      <c r="A1722" s="35"/>
    </row>
    <row r="1723" spans="1:1" x14ac:dyDescent="0.25">
      <c r="A1723" s="35"/>
    </row>
    <row r="1724" spans="1:1" x14ac:dyDescent="0.25">
      <c r="A1724" s="35"/>
    </row>
    <row r="1725" spans="1:1" x14ac:dyDescent="0.25">
      <c r="A1725" s="35"/>
    </row>
    <row r="1726" spans="1:1" x14ac:dyDescent="0.25">
      <c r="A1726" s="35"/>
    </row>
    <row r="1727" spans="1:1" x14ac:dyDescent="0.25">
      <c r="A1727" s="35"/>
    </row>
    <row r="1728" spans="1:1" x14ac:dyDescent="0.25">
      <c r="A1728" s="35"/>
    </row>
    <row r="1729" spans="1:1" x14ac:dyDescent="0.25">
      <c r="A1729" s="35"/>
    </row>
    <row r="1730" spans="1:1" x14ac:dyDescent="0.25">
      <c r="A1730" s="35"/>
    </row>
    <row r="1731" spans="1:1" x14ac:dyDescent="0.25">
      <c r="A1731" s="35"/>
    </row>
    <row r="1732" spans="1:1" x14ac:dyDescent="0.25">
      <c r="A1732" s="35"/>
    </row>
    <row r="1733" spans="1:1" x14ac:dyDescent="0.25">
      <c r="A1733" s="35"/>
    </row>
    <row r="1734" spans="1:1" x14ac:dyDescent="0.25">
      <c r="A1734" s="35"/>
    </row>
    <row r="1735" spans="1:1" x14ac:dyDescent="0.25">
      <c r="A1735" s="35"/>
    </row>
    <row r="1736" spans="1:1" x14ac:dyDescent="0.25">
      <c r="A1736" s="35"/>
    </row>
    <row r="1737" spans="1:1" x14ac:dyDescent="0.25">
      <c r="A1737" s="35"/>
    </row>
    <row r="1738" spans="1:1" x14ac:dyDescent="0.25">
      <c r="A1738" s="35"/>
    </row>
    <row r="1739" spans="1:1" x14ac:dyDescent="0.25">
      <c r="A1739" s="35"/>
    </row>
    <row r="1740" spans="1:1" x14ac:dyDescent="0.25">
      <c r="A1740" s="35"/>
    </row>
    <row r="1741" spans="1:1" x14ac:dyDescent="0.25">
      <c r="A1741" s="35"/>
    </row>
    <row r="1742" spans="1:1" x14ac:dyDescent="0.25">
      <c r="A1742" s="35"/>
    </row>
    <row r="1743" spans="1:1" x14ac:dyDescent="0.25">
      <c r="A1743" s="35"/>
    </row>
    <row r="1744" spans="1:1" x14ac:dyDescent="0.25">
      <c r="A1744" s="35"/>
    </row>
    <row r="1745" spans="1:1" x14ac:dyDescent="0.25">
      <c r="A1745" s="35"/>
    </row>
    <row r="1746" spans="1:1" x14ac:dyDescent="0.25">
      <c r="A1746" s="35"/>
    </row>
    <row r="1747" spans="1:1" x14ac:dyDescent="0.25">
      <c r="A1747" s="35"/>
    </row>
    <row r="1748" spans="1:1" x14ac:dyDescent="0.25">
      <c r="A1748" s="35"/>
    </row>
    <row r="1749" spans="1:1" x14ac:dyDescent="0.25">
      <c r="A1749" s="35"/>
    </row>
    <row r="1750" spans="1:1" x14ac:dyDescent="0.25">
      <c r="A1750" s="35"/>
    </row>
    <row r="1751" spans="1:1" x14ac:dyDescent="0.25">
      <c r="A1751" s="35"/>
    </row>
    <row r="1752" spans="1:1" x14ac:dyDescent="0.25">
      <c r="A1752" s="35"/>
    </row>
    <row r="1753" spans="1:1" x14ac:dyDescent="0.25">
      <c r="A1753" s="35"/>
    </row>
    <row r="1754" spans="1:1" x14ac:dyDescent="0.25">
      <c r="A1754" s="35"/>
    </row>
    <row r="1755" spans="1:1" x14ac:dyDescent="0.25">
      <c r="A1755" s="35"/>
    </row>
    <row r="1756" spans="1:1" x14ac:dyDescent="0.25">
      <c r="A1756" s="35"/>
    </row>
    <row r="1757" spans="1:1" x14ac:dyDescent="0.25">
      <c r="A1757" s="35"/>
    </row>
    <row r="1758" spans="1:1" x14ac:dyDescent="0.25">
      <c r="A1758" s="35"/>
    </row>
    <row r="1759" spans="1:1" x14ac:dyDescent="0.25">
      <c r="A1759" s="35"/>
    </row>
    <row r="1760" spans="1:1" x14ac:dyDescent="0.25">
      <c r="A1760" s="35"/>
    </row>
    <row r="1761" spans="1:1" x14ac:dyDescent="0.25">
      <c r="A1761" s="35"/>
    </row>
    <row r="1762" spans="1:1" x14ac:dyDescent="0.25">
      <c r="A1762" s="35"/>
    </row>
    <row r="1763" spans="1:1" x14ac:dyDescent="0.25">
      <c r="A1763" s="35"/>
    </row>
    <row r="1764" spans="1:1" x14ac:dyDescent="0.25">
      <c r="A1764" s="35"/>
    </row>
    <row r="1765" spans="1:1" x14ac:dyDescent="0.25">
      <c r="A1765" s="35"/>
    </row>
    <row r="1766" spans="1:1" x14ac:dyDescent="0.25">
      <c r="A1766" s="35"/>
    </row>
    <row r="1767" spans="1:1" x14ac:dyDescent="0.25">
      <c r="A1767" s="35"/>
    </row>
    <row r="1768" spans="1:1" x14ac:dyDescent="0.25">
      <c r="A1768" s="35"/>
    </row>
    <row r="1769" spans="1:1" x14ac:dyDescent="0.25">
      <c r="A1769" s="35"/>
    </row>
    <row r="1770" spans="1:1" x14ac:dyDescent="0.25">
      <c r="A1770" s="35"/>
    </row>
    <row r="1771" spans="1:1" x14ac:dyDescent="0.25">
      <c r="A1771" s="35"/>
    </row>
    <row r="1772" spans="1:1" x14ac:dyDescent="0.25">
      <c r="A1772" s="35"/>
    </row>
    <row r="1773" spans="1:1" x14ac:dyDescent="0.25">
      <c r="A1773" s="35"/>
    </row>
    <row r="1774" spans="1:1" x14ac:dyDescent="0.25">
      <c r="A1774" s="35"/>
    </row>
    <row r="1775" spans="1:1" x14ac:dyDescent="0.25">
      <c r="A1775" s="35"/>
    </row>
    <row r="1776" spans="1:1" x14ac:dyDescent="0.25">
      <c r="A1776" s="35"/>
    </row>
    <row r="1777" spans="1:1" x14ac:dyDescent="0.25">
      <c r="A1777" s="35"/>
    </row>
    <row r="1778" spans="1:1" x14ac:dyDescent="0.25">
      <c r="A1778" s="35"/>
    </row>
    <row r="1779" spans="1:1" x14ac:dyDescent="0.25">
      <c r="A1779" s="35"/>
    </row>
    <row r="1780" spans="1:1" x14ac:dyDescent="0.25">
      <c r="A1780" s="35"/>
    </row>
    <row r="1781" spans="1:1" x14ac:dyDescent="0.25">
      <c r="A1781" s="35"/>
    </row>
    <row r="1782" spans="1:1" x14ac:dyDescent="0.25">
      <c r="A1782" s="35"/>
    </row>
    <row r="1783" spans="1:1" x14ac:dyDescent="0.25">
      <c r="A1783" s="35"/>
    </row>
    <row r="1784" spans="1:1" x14ac:dyDescent="0.25">
      <c r="A1784" s="35"/>
    </row>
    <row r="1785" spans="1:1" x14ac:dyDescent="0.25">
      <c r="A1785" s="35"/>
    </row>
    <row r="1786" spans="1:1" x14ac:dyDescent="0.25">
      <c r="A1786" s="35"/>
    </row>
    <row r="1787" spans="1:1" x14ac:dyDescent="0.25">
      <c r="A1787" s="35"/>
    </row>
    <row r="1788" spans="1:1" x14ac:dyDescent="0.25">
      <c r="A1788" s="35"/>
    </row>
    <row r="1789" spans="1:1" x14ac:dyDescent="0.25">
      <c r="A1789" s="35"/>
    </row>
    <row r="1790" spans="1:1" x14ac:dyDescent="0.25">
      <c r="A1790" s="35"/>
    </row>
    <row r="1791" spans="1:1" x14ac:dyDescent="0.25">
      <c r="A1791" s="35"/>
    </row>
    <row r="1792" spans="1:1" x14ac:dyDescent="0.25">
      <c r="A1792" s="35"/>
    </row>
    <row r="1793" spans="1:1" x14ac:dyDescent="0.25">
      <c r="A1793" s="35"/>
    </row>
    <row r="1794" spans="1:1" x14ac:dyDescent="0.25">
      <c r="A1794" s="35"/>
    </row>
    <row r="1795" spans="1:1" x14ac:dyDescent="0.25">
      <c r="A1795" s="35"/>
    </row>
    <row r="1796" spans="1:1" x14ac:dyDescent="0.25">
      <c r="A1796" s="35"/>
    </row>
    <row r="1797" spans="1:1" x14ac:dyDescent="0.25">
      <c r="A1797" s="35"/>
    </row>
    <row r="1798" spans="1:1" x14ac:dyDescent="0.25">
      <c r="A1798" s="35"/>
    </row>
    <row r="1799" spans="1:1" x14ac:dyDescent="0.25">
      <c r="A1799" s="35"/>
    </row>
    <row r="1800" spans="1:1" x14ac:dyDescent="0.25">
      <c r="A1800" s="35"/>
    </row>
    <row r="1801" spans="1:1" x14ac:dyDescent="0.25">
      <c r="A1801" s="35"/>
    </row>
    <row r="1802" spans="1:1" x14ac:dyDescent="0.25">
      <c r="A1802" s="35"/>
    </row>
    <row r="1803" spans="1:1" x14ac:dyDescent="0.25">
      <c r="A1803" s="35"/>
    </row>
    <row r="1804" spans="1:1" x14ac:dyDescent="0.25">
      <c r="A1804" s="35"/>
    </row>
    <row r="1805" spans="1:1" x14ac:dyDescent="0.25">
      <c r="A1805" s="35"/>
    </row>
    <row r="1806" spans="1:1" x14ac:dyDescent="0.25">
      <c r="A1806" s="35"/>
    </row>
    <row r="1807" spans="1:1" x14ac:dyDescent="0.25">
      <c r="A1807" s="35"/>
    </row>
    <row r="1808" spans="1:1" x14ac:dyDescent="0.25">
      <c r="A1808" s="35"/>
    </row>
    <row r="1809" spans="1:1" x14ac:dyDescent="0.25">
      <c r="A1809" s="35"/>
    </row>
    <row r="1810" spans="1:1" x14ac:dyDescent="0.25">
      <c r="A1810" s="35"/>
    </row>
    <row r="1811" spans="1:1" x14ac:dyDescent="0.25">
      <c r="A1811" s="35"/>
    </row>
    <row r="1812" spans="1:1" x14ac:dyDescent="0.25">
      <c r="A1812" s="35"/>
    </row>
    <row r="1813" spans="1:1" x14ac:dyDescent="0.25">
      <c r="A1813" s="35"/>
    </row>
    <row r="1814" spans="1:1" x14ac:dyDescent="0.25">
      <c r="A1814" s="35"/>
    </row>
    <row r="1815" spans="1:1" x14ac:dyDescent="0.25">
      <c r="A1815" s="35"/>
    </row>
    <row r="1816" spans="1:1" x14ac:dyDescent="0.25">
      <c r="A1816" s="35"/>
    </row>
    <row r="1817" spans="1:1" x14ac:dyDescent="0.25">
      <c r="A1817" s="35"/>
    </row>
    <row r="1818" spans="1:1" x14ac:dyDescent="0.25">
      <c r="A1818" s="35"/>
    </row>
    <row r="1819" spans="1:1" x14ac:dyDescent="0.25">
      <c r="A1819" s="35"/>
    </row>
    <row r="1820" spans="1:1" x14ac:dyDescent="0.25">
      <c r="A1820" s="35"/>
    </row>
    <row r="1821" spans="1:1" x14ac:dyDescent="0.25">
      <c r="A1821" s="35"/>
    </row>
    <row r="1822" spans="1:1" x14ac:dyDescent="0.25">
      <c r="A1822" s="35"/>
    </row>
    <row r="1823" spans="1:1" x14ac:dyDescent="0.25">
      <c r="A1823" s="35"/>
    </row>
    <row r="1824" spans="1:1" x14ac:dyDescent="0.25">
      <c r="A1824" s="35"/>
    </row>
    <row r="1825" spans="1:1" x14ac:dyDescent="0.25">
      <c r="A1825" s="35"/>
    </row>
    <row r="1826" spans="1:1" x14ac:dyDescent="0.25">
      <c r="A1826" s="35"/>
    </row>
    <row r="1827" spans="1:1" x14ac:dyDescent="0.25">
      <c r="A1827" s="35"/>
    </row>
    <row r="1828" spans="1:1" x14ac:dyDescent="0.25">
      <c r="A1828" s="35"/>
    </row>
    <row r="1829" spans="1:1" x14ac:dyDescent="0.25">
      <c r="A1829" s="35"/>
    </row>
    <row r="1830" spans="1:1" x14ac:dyDescent="0.25">
      <c r="A1830" s="35"/>
    </row>
    <row r="1831" spans="1:1" x14ac:dyDescent="0.25">
      <c r="A1831" s="35"/>
    </row>
    <row r="1832" spans="1:1" x14ac:dyDescent="0.25">
      <c r="A1832" s="35"/>
    </row>
    <row r="1833" spans="1:1" x14ac:dyDescent="0.25">
      <c r="A1833" s="35"/>
    </row>
    <row r="1834" spans="1:1" x14ac:dyDescent="0.25">
      <c r="A1834" s="35"/>
    </row>
    <row r="1835" spans="1:1" x14ac:dyDescent="0.25">
      <c r="A1835" s="35"/>
    </row>
    <row r="1836" spans="1:1" x14ac:dyDescent="0.25">
      <c r="A1836" s="35"/>
    </row>
    <row r="1837" spans="1:1" x14ac:dyDescent="0.25">
      <c r="A1837" s="35"/>
    </row>
    <row r="1838" spans="1:1" x14ac:dyDescent="0.25">
      <c r="A1838" s="35"/>
    </row>
    <row r="1839" spans="1:1" x14ac:dyDescent="0.25">
      <c r="A1839" s="35"/>
    </row>
    <row r="1840" spans="1:1" x14ac:dyDescent="0.25">
      <c r="A1840" s="35"/>
    </row>
    <row r="1841" spans="1:1" x14ac:dyDescent="0.25">
      <c r="A1841" s="35"/>
    </row>
    <row r="1842" spans="1:1" x14ac:dyDescent="0.25">
      <c r="A1842" s="35"/>
    </row>
    <row r="1843" spans="1:1" x14ac:dyDescent="0.25">
      <c r="A1843" s="35"/>
    </row>
    <row r="1844" spans="1:1" x14ac:dyDescent="0.25">
      <c r="A1844" s="35"/>
    </row>
    <row r="1845" spans="1:1" x14ac:dyDescent="0.25">
      <c r="A1845" s="35"/>
    </row>
    <row r="1846" spans="1:1" x14ac:dyDescent="0.25">
      <c r="A1846" s="35"/>
    </row>
    <row r="1847" spans="1:1" x14ac:dyDescent="0.25">
      <c r="A1847" s="35"/>
    </row>
    <row r="1848" spans="1:1" x14ac:dyDescent="0.25">
      <c r="A1848" s="35"/>
    </row>
    <row r="1849" spans="1:1" x14ac:dyDescent="0.25">
      <c r="A1849" s="35"/>
    </row>
    <row r="1850" spans="1:1" x14ac:dyDescent="0.25">
      <c r="A1850" s="35"/>
    </row>
    <row r="1851" spans="1:1" x14ac:dyDescent="0.25">
      <c r="A1851" s="35"/>
    </row>
    <row r="1852" spans="1:1" x14ac:dyDescent="0.25">
      <c r="A1852" s="35"/>
    </row>
    <row r="1853" spans="1:1" x14ac:dyDescent="0.25">
      <c r="A1853" s="35"/>
    </row>
    <row r="1854" spans="1:1" x14ac:dyDescent="0.25">
      <c r="A1854" s="35"/>
    </row>
    <row r="1855" spans="1:1" x14ac:dyDescent="0.25">
      <c r="A1855" s="35"/>
    </row>
    <row r="1856" spans="1:1" x14ac:dyDescent="0.25">
      <c r="A1856" s="35"/>
    </row>
    <row r="1857" spans="1:1" x14ac:dyDescent="0.25">
      <c r="A1857" s="35"/>
    </row>
    <row r="1858" spans="1:1" x14ac:dyDescent="0.25">
      <c r="A1858" s="35"/>
    </row>
    <row r="1859" spans="1:1" x14ac:dyDescent="0.25">
      <c r="A1859" s="35"/>
    </row>
    <row r="1860" spans="1:1" x14ac:dyDescent="0.25">
      <c r="A1860" s="35"/>
    </row>
    <row r="1861" spans="1:1" x14ac:dyDescent="0.25">
      <c r="A1861" s="35"/>
    </row>
    <row r="1862" spans="1:1" x14ac:dyDescent="0.25">
      <c r="A1862" s="35"/>
    </row>
    <row r="1863" spans="1:1" x14ac:dyDescent="0.25">
      <c r="A1863" s="35"/>
    </row>
    <row r="1864" spans="1:1" x14ac:dyDescent="0.25">
      <c r="A1864" s="35"/>
    </row>
    <row r="1865" spans="1:1" x14ac:dyDescent="0.25">
      <c r="A1865" s="35"/>
    </row>
    <row r="1866" spans="1:1" x14ac:dyDescent="0.25">
      <c r="A1866" s="35"/>
    </row>
    <row r="1867" spans="1:1" x14ac:dyDescent="0.25">
      <c r="A1867" s="35"/>
    </row>
    <row r="1868" spans="1:1" x14ac:dyDescent="0.25">
      <c r="A1868" s="35"/>
    </row>
    <row r="1869" spans="1:1" x14ac:dyDescent="0.25">
      <c r="A1869" s="35"/>
    </row>
    <row r="1870" spans="1:1" x14ac:dyDescent="0.25">
      <c r="A1870" s="35"/>
    </row>
    <row r="1871" spans="1:1" x14ac:dyDescent="0.25">
      <c r="A1871" s="35"/>
    </row>
    <row r="1872" spans="1:1" x14ac:dyDescent="0.25">
      <c r="A1872" s="35"/>
    </row>
    <row r="1873" spans="1:1" x14ac:dyDescent="0.25">
      <c r="A1873" s="35"/>
    </row>
    <row r="1874" spans="1:1" x14ac:dyDescent="0.25">
      <c r="A1874" s="35"/>
    </row>
    <row r="1875" spans="1:1" x14ac:dyDescent="0.25">
      <c r="A1875" s="35"/>
    </row>
    <row r="1876" spans="1:1" x14ac:dyDescent="0.25">
      <c r="A1876" s="35"/>
    </row>
    <row r="1877" spans="1:1" x14ac:dyDescent="0.25">
      <c r="A1877" s="35"/>
    </row>
    <row r="1878" spans="1:1" x14ac:dyDescent="0.25">
      <c r="A1878" s="35"/>
    </row>
    <row r="1879" spans="1:1" x14ac:dyDescent="0.25">
      <c r="A1879" s="35"/>
    </row>
    <row r="1880" spans="1:1" x14ac:dyDescent="0.25">
      <c r="A1880" s="35"/>
    </row>
    <row r="1881" spans="1:1" x14ac:dyDescent="0.25">
      <c r="A1881" s="35"/>
    </row>
    <row r="1882" spans="1:1" x14ac:dyDescent="0.25">
      <c r="A1882" s="35"/>
    </row>
    <row r="1883" spans="1:1" x14ac:dyDescent="0.25">
      <c r="A1883" s="35"/>
    </row>
    <row r="1884" spans="1:1" x14ac:dyDescent="0.25">
      <c r="A1884" s="35"/>
    </row>
    <row r="1885" spans="1:1" x14ac:dyDescent="0.25">
      <c r="A1885" s="35"/>
    </row>
    <row r="1886" spans="1:1" x14ac:dyDescent="0.25">
      <c r="A1886" s="35"/>
    </row>
    <row r="1887" spans="1:1" x14ac:dyDescent="0.25">
      <c r="A1887" s="35"/>
    </row>
    <row r="1888" spans="1:1" x14ac:dyDescent="0.25">
      <c r="A1888" s="35"/>
    </row>
    <row r="1889" spans="1:1" x14ac:dyDescent="0.25">
      <c r="A1889" s="35"/>
    </row>
    <row r="1890" spans="1:1" x14ac:dyDescent="0.25">
      <c r="A1890" s="35"/>
    </row>
    <row r="1891" spans="1:1" x14ac:dyDescent="0.25">
      <c r="A1891" s="35"/>
    </row>
    <row r="1892" spans="1:1" x14ac:dyDescent="0.25">
      <c r="A1892" s="35"/>
    </row>
    <row r="1893" spans="1:1" x14ac:dyDescent="0.25">
      <c r="A1893" s="35"/>
    </row>
    <row r="1894" spans="1:1" x14ac:dyDescent="0.25">
      <c r="A1894" s="35"/>
    </row>
    <row r="1895" spans="1:1" x14ac:dyDescent="0.25">
      <c r="A1895" s="35"/>
    </row>
    <row r="1896" spans="1:1" x14ac:dyDescent="0.25">
      <c r="A1896" s="35"/>
    </row>
    <row r="1897" spans="1:1" x14ac:dyDescent="0.25">
      <c r="A1897" s="35"/>
    </row>
    <row r="1898" spans="1:1" x14ac:dyDescent="0.25">
      <c r="A1898" s="35"/>
    </row>
    <row r="1899" spans="1:1" x14ac:dyDescent="0.25">
      <c r="A1899" s="35"/>
    </row>
    <row r="1900" spans="1:1" x14ac:dyDescent="0.25">
      <c r="A1900" s="35"/>
    </row>
    <row r="1901" spans="1:1" x14ac:dyDescent="0.25">
      <c r="A1901" s="35"/>
    </row>
    <row r="1902" spans="1:1" x14ac:dyDescent="0.25">
      <c r="A1902" s="35"/>
    </row>
    <row r="1903" spans="1:1" x14ac:dyDescent="0.25">
      <c r="A1903" s="35"/>
    </row>
    <row r="1904" spans="1:1" x14ac:dyDescent="0.25">
      <c r="A1904" s="35"/>
    </row>
    <row r="1905" spans="1:1" x14ac:dyDescent="0.25">
      <c r="A1905" s="35"/>
    </row>
    <row r="1906" spans="1:1" x14ac:dyDescent="0.25">
      <c r="A1906" s="35"/>
    </row>
    <row r="1907" spans="1:1" x14ac:dyDescent="0.25">
      <c r="A1907" s="35"/>
    </row>
    <row r="1908" spans="1:1" x14ac:dyDescent="0.25">
      <c r="A1908" s="35"/>
    </row>
    <row r="1909" spans="1:1" x14ac:dyDescent="0.25">
      <c r="A1909" s="35"/>
    </row>
    <row r="1910" spans="1:1" x14ac:dyDescent="0.25">
      <c r="A1910" s="35"/>
    </row>
    <row r="1911" spans="1:1" x14ac:dyDescent="0.25">
      <c r="A1911" s="35"/>
    </row>
    <row r="1912" spans="1:1" x14ac:dyDescent="0.25">
      <c r="A1912" s="35"/>
    </row>
    <row r="1913" spans="1:1" x14ac:dyDescent="0.25">
      <c r="A1913" s="35"/>
    </row>
    <row r="1914" spans="1:1" x14ac:dyDescent="0.25">
      <c r="A1914" s="35"/>
    </row>
    <row r="1915" spans="1:1" x14ac:dyDescent="0.25">
      <c r="A1915" s="35"/>
    </row>
    <row r="1916" spans="1:1" x14ac:dyDescent="0.25">
      <c r="A1916" s="35"/>
    </row>
    <row r="1917" spans="1:1" x14ac:dyDescent="0.25">
      <c r="A1917" s="35"/>
    </row>
    <row r="1918" spans="1:1" x14ac:dyDescent="0.25">
      <c r="A1918" s="35"/>
    </row>
    <row r="1919" spans="1:1" x14ac:dyDescent="0.25">
      <c r="A1919" s="35"/>
    </row>
    <row r="1920" spans="1:1" x14ac:dyDescent="0.25">
      <c r="A1920" s="35"/>
    </row>
    <row r="1921" spans="1:1" x14ac:dyDescent="0.25">
      <c r="A1921" s="35"/>
    </row>
    <row r="1922" spans="1:1" x14ac:dyDescent="0.25">
      <c r="A1922" s="35"/>
    </row>
    <row r="1923" spans="1:1" x14ac:dyDescent="0.25">
      <c r="A1923" s="35"/>
    </row>
    <row r="1924" spans="1:1" x14ac:dyDescent="0.25">
      <c r="A1924" s="35"/>
    </row>
    <row r="1925" spans="1:1" x14ac:dyDescent="0.25">
      <c r="A1925" s="35"/>
    </row>
    <row r="1926" spans="1:1" x14ac:dyDescent="0.25">
      <c r="A1926" s="35"/>
    </row>
    <row r="1927" spans="1:1" x14ac:dyDescent="0.25">
      <c r="A1927" s="35"/>
    </row>
    <row r="1928" spans="1:1" x14ac:dyDescent="0.25">
      <c r="A1928" s="35"/>
    </row>
    <row r="1929" spans="1:1" x14ac:dyDescent="0.25">
      <c r="A1929" s="35"/>
    </row>
    <row r="1930" spans="1:1" x14ac:dyDescent="0.25">
      <c r="A1930" s="35"/>
    </row>
    <row r="1931" spans="1:1" x14ac:dyDescent="0.25">
      <c r="A1931" s="35"/>
    </row>
    <row r="1932" spans="1:1" x14ac:dyDescent="0.25">
      <c r="A1932" s="35"/>
    </row>
    <row r="1933" spans="1:1" x14ac:dyDescent="0.25">
      <c r="A1933" s="35"/>
    </row>
    <row r="1934" spans="1:1" x14ac:dyDescent="0.25">
      <c r="A1934" s="35"/>
    </row>
    <row r="1935" spans="1:1" x14ac:dyDescent="0.25">
      <c r="A1935" s="35"/>
    </row>
    <row r="1936" spans="1:1" x14ac:dyDescent="0.25">
      <c r="A1936" s="35"/>
    </row>
    <row r="1937" spans="1:1" x14ac:dyDescent="0.25">
      <c r="A1937" s="35"/>
    </row>
    <row r="1938" spans="1:1" x14ac:dyDescent="0.25">
      <c r="A1938" s="35"/>
    </row>
    <row r="1939" spans="1:1" x14ac:dyDescent="0.25">
      <c r="A1939" s="35"/>
    </row>
    <row r="1940" spans="1:1" x14ac:dyDescent="0.25">
      <c r="A1940" s="35"/>
    </row>
    <row r="1941" spans="1:1" x14ac:dyDescent="0.25">
      <c r="A1941" s="35"/>
    </row>
    <row r="1942" spans="1:1" x14ac:dyDescent="0.25">
      <c r="A1942" s="35"/>
    </row>
    <row r="1943" spans="1:1" x14ac:dyDescent="0.25">
      <c r="A1943" s="35"/>
    </row>
    <row r="1944" spans="1:1" x14ac:dyDescent="0.25">
      <c r="A1944" s="35"/>
    </row>
    <row r="1945" spans="1:1" x14ac:dyDescent="0.25">
      <c r="A1945" s="35"/>
    </row>
    <row r="1946" spans="1:1" x14ac:dyDescent="0.25">
      <c r="A1946" s="35"/>
    </row>
    <row r="1947" spans="1:1" x14ac:dyDescent="0.25">
      <c r="A1947" s="35"/>
    </row>
    <row r="1948" spans="1:1" x14ac:dyDescent="0.25">
      <c r="A1948" s="35"/>
    </row>
    <row r="1949" spans="1:1" x14ac:dyDescent="0.25">
      <c r="A1949" s="35"/>
    </row>
    <row r="1950" spans="1:1" x14ac:dyDescent="0.25">
      <c r="A1950" s="35"/>
    </row>
    <row r="1951" spans="1:1" x14ac:dyDescent="0.25">
      <c r="A1951" s="35"/>
    </row>
    <row r="1952" spans="1:1" x14ac:dyDescent="0.25">
      <c r="A1952" s="35"/>
    </row>
    <row r="1953" spans="1:1" x14ac:dyDescent="0.25">
      <c r="A1953" s="35"/>
    </row>
    <row r="1954" spans="1:1" x14ac:dyDescent="0.25">
      <c r="A1954" s="35"/>
    </row>
    <row r="1955" spans="1:1" x14ac:dyDescent="0.25">
      <c r="A1955" s="35"/>
    </row>
    <row r="1956" spans="1:1" x14ac:dyDescent="0.25">
      <c r="A1956" s="35"/>
    </row>
    <row r="1957" spans="1:1" x14ac:dyDescent="0.25">
      <c r="A1957" s="35"/>
    </row>
    <row r="1958" spans="1:1" x14ac:dyDescent="0.25">
      <c r="A1958" s="35"/>
    </row>
    <row r="1959" spans="1:1" x14ac:dyDescent="0.25">
      <c r="A1959" s="35"/>
    </row>
    <row r="1960" spans="1:1" x14ac:dyDescent="0.25">
      <c r="A1960" s="35"/>
    </row>
    <row r="1961" spans="1:1" x14ac:dyDescent="0.25">
      <c r="A1961" s="35"/>
    </row>
    <row r="1962" spans="1:1" x14ac:dyDescent="0.25">
      <c r="A1962" s="35"/>
    </row>
    <row r="1963" spans="1:1" x14ac:dyDescent="0.25">
      <c r="A1963" s="35"/>
    </row>
    <row r="1964" spans="1:1" x14ac:dyDescent="0.25">
      <c r="A1964" s="35"/>
    </row>
    <row r="1965" spans="1:1" x14ac:dyDescent="0.25">
      <c r="A1965" s="35"/>
    </row>
    <row r="1966" spans="1:1" x14ac:dyDescent="0.25">
      <c r="A1966" s="35"/>
    </row>
    <row r="1967" spans="1:1" x14ac:dyDescent="0.25">
      <c r="A1967" s="35"/>
    </row>
    <row r="1968" spans="1:1" x14ac:dyDescent="0.25">
      <c r="A1968" s="35"/>
    </row>
    <row r="1969" spans="1:1" x14ac:dyDescent="0.25">
      <c r="A1969" s="35"/>
    </row>
    <row r="1970" spans="1:1" x14ac:dyDescent="0.25">
      <c r="A1970" s="35"/>
    </row>
    <row r="1971" spans="1:1" x14ac:dyDescent="0.25">
      <c r="A1971" s="35"/>
    </row>
    <row r="1972" spans="1:1" x14ac:dyDescent="0.25">
      <c r="A1972" s="35"/>
    </row>
    <row r="1973" spans="1:1" x14ac:dyDescent="0.25">
      <c r="A1973" s="35"/>
    </row>
    <row r="1974" spans="1:1" x14ac:dyDescent="0.25">
      <c r="A1974" s="35"/>
    </row>
    <row r="1975" spans="1:1" x14ac:dyDescent="0.25">
      <c r="A1975" s="35"/>
    </row>
    <row r="1976" spans="1:1" x14ac:dyDescent="0.25">
      <c r="A1976" s="35"/>
    </row>
    <row r="1977" spans="1:1" x14ac:dyDescent="0.25">
      <c r="A1977" s="35"/>
    </row>
    <row r="1978" spans="1:1" x14ac:dyDescent="0.25">
      <c r="A1978" s="35"/>
    </row>
    <row r="1979" spans="1:1" x14ac:dyDescent="0.25">
      <c r="A1979" s="35"/>
    </row>
    <row r="1980" spans="1:1" x14ac:dyDescent="0.25">
      <c r="A1980" s="35"/>
    </row>
    <row r="1981" spans="1:1" x14ac:dyDescent="0.25">
      <c r="A1981" s="35"/>
    </row>
    <row r="1982" spans="1:1" x14ac:dyDescent="0.25">
      <c r="A1982" s="35"/>
    </row>
    <row r="1983" spans="1:1" x14ac:dyDescent="0.25">
      <c r="A1983" s="35"/>
    </row>
    <row r="1984" spans="1:1" x14ac:dyDescent="0.25">
      <c r="A1984" s="35"/>
    </row>
    <row r="1985" spans="1:1" x14ac:dyDescent="0.25">
      <c r="A1985" s="35"/>
    </row>
    <row r="1986" spans="1:1" x14ac:dyDescent="0.25">
      <c r="A1986" s="35"/>
    </row>
    <row r="1987" spans="1:1" x14ac:dyDescent="0.25">
      <c r="A1987" s="35"/>
    </row>
    <row r="1988" spans="1:1" x14ac:dyDescent="0.25">
      <c r="A1988" s="35"/>
    </row>
    <row r="1989" spans="1:1" x14ac:dyDescent="0.25">
      <c r="A1989" s="35"/>
    </row>
    <row r="1990" spans="1:1" x14ac:dyDescent="0.25">
      <c r="A1990" s="35"/>
    </row>
    <row r="1991" spans="1:1" x14ac:dyDescent="0.25">
      <c r="A1991" s="35"/>
    </row>
    <row r="1992" spans="1:1" x14ac:dyDescent="0.25">
      <c r="A1992" s="35"/>
    </row>
    <row r="1993" spans="1:1" x14ac:dyDescent="0.25">
      <c r="A1993" s="35"/>
    </row>
    <row r="1994" spans="1:1" x14ac:dyDescent="0.25">
      <c r="A1994" s="35"/>
    </row>
    <row r="1995" spans="1:1" x14ac:dyDescent="0.25">
      <c r="A1995" s="35"/>
    </row>
    <row r="1996" spans="1:1" x14ac:dyDescent="0.25">
      <c r="A1996" s="35"/>
    </row>
    <row r="1997" spans="1:1" x14ac:dyDescent="0.25">
      <c r="A1997" s="35"/>
    </row>
    <row r="1998" spans="1:1" x14ac:dyDescent="0.25">
      <c r="A1998" s="35"/>
    </row>
    <row r="1999" spans="1:1" x14ac:dyDescent="0.25">
      <c r="A1999" s="35"/>
    </row>
    <row r="2000" spans="1:1" x14ac:dyDescent="0.25">
      <c r="A2000" s="35"/>
    </row>
    <row r="2001" spans="1:1" x14ac:dyDescent="0.25">
      <c r="A2001" s="35"/>
    </row>
    <row r="2002" spans="1:1" x14ac:dyDescent="0.25">
      <c r="A2002" s="35"/>
    </row>
    <row r="2003" spans="1:1" x14ac:dyDescent="0.25">
      <c r="A2003" s="35"/>
    </row>
    <row r="2004" spans="1:1" x14ac:dyDescent="0.25">
      <c r="A2004" s="35"/>
    </row>
    <row r="2005" spans="1:1" x14ac:dyDescent="0.25">
      <c r="A2005" s="35"/>
    </row>
    <row r="2006" spans="1:1" x14ac:dyDescent="0.25">
      <c r="A2006" s="35"/>
    </row>
    <row r="2007" spans="1:1" x14ac:dyDescent="0.25">
      <c r="A2007" s="35"/>
    </row>
    <row r="2008" spans="1:1" x14ac:dyDescent="0.25">
      <c r="A2008" s="35"/>
    </row>
    <row r="2009" spans="1:1" x14ac:dyDescent="0.25">
      <c r="A2009" s="35"/>
    </row>
    <row r="2010" spans="1:1" x14ac:dyDescent="0.25">
      <c r="A2010" s="35"/>
    </row>
    <row r="2011" spans="1:1" x14ac:dyDescent="0.25">
      <c r="A2011" s="35"/>
    </row>
    <row r="2012" spans="1:1" x14ac:dyDescent="0.25">
      <c r="A2012" s="35"/>
    </row>
    <row r="2013" spans="1:1" x14ac:dyDescent="0.25">
      <c r="A2013" s="35"/>
    </row>
    <row r="2014" spans="1:1" x14ac:dyDescent="0.25">
      <c r="A2014" s="35"/>
    </row>
    <row r="2015" spans="1:1" x14ac:dyDescent="0.25">
      <c r="A2015" s="35"/>
    </row>
    <row r="2016" spans="1:1" x14ac:dyDescent="0.25">
      <c r="A2016" s="35"/>
    </row>
    <row r="2017" spans="1:1" x14ac:dyDescent="0.25">
      <c r="A2017" s="35"/>
    </row>
    <row r="2018" spans="1:1" x14ac:dyDescent="0.25">
      <c r="A2018" s="35"/>
    </row>
    <row r="2019" spans="1:1" x14ac:dyDescent="0.25">
      <c r="A2019" s="35"/>
    </row>
    <row r="2020" spans="1:1" x14ac:dyDescent="0.25">
      <c r="A2020" s="35"/>
    </row>
    <row r="2021" spans="1:1" x14ac:dyDescent="0.25">
      <c r="A2021" s="35"/>
    </row>
    <row r="2022" spans="1:1" x14ac:dyDescent="0.25">
      <c r="A2022" s="35"/>
    </row>
    <row r="2023" spans="1:1" x14ac:dyDescent="0.25">
      <c r="A2023" s="35"/>
    </row>
    <row r="2024" spans="1:1" x14ac:dyDescent="0.25">
      <c r="A2024" s="35"/>
    </row>
    <row r="2025" spans="1:1" x14ac:dyDescent="0.25">
      <c r="A2025" s="35"/>
    </row>
    <row r="2026" spans="1:1" x14ac:dyDescent="0.25">
      <c r="A2026" s="35"/>
    </row>
    <row r="2027" spans="1:1" x14ac:dyDescent="0.25">
      <c r="A2027" s="35"/>
    </row>
    <row r="2028" spans="1:1" x14ac:dyDescent="0.25">
      <c r="A2028" s="35"/>
    </row>
    <row r="2029" spans="1:1" x14ac:dyDescent="0.25">
      <c r="A2029" s="35"/>
    </row>
    <row r="2030" spans="1:1" x14ac:dyDescent="0.25">
      <c r="A2030" s="35"/>
    </row>
    <row r="2031" spans="1:1" x14ac:dyDescent="0.25">
      <c r="A2031" s="35"/>
    </row>
    <row r="2032" spans="1:1" x14ac:dyDescent="0.25">
      <c r="A2032" s="35"/>
    </row>
    <row r="2033" spans="1:1" x14ac:dyDescent="0.25">
      <c r="A2033" s="35"/>
    </row>
    <row r="2034" spans="1:1" x14ac:dyDescent="0.25">
      <c r="A2034" s="35"/>
    </row>
    <row r="2035" spans="1:1" x14ac:dyDescent="0.25">
      <c r="A2035" s="35"/>
    </row>
    <row r="2036" spans="1:1" x14ac:dyDescent="0.25">
      <c r="A2036" s="35"/>
    </row>
    <row r="2037" spans="1:1" x14ac:dyDescent="0.25">
      <c r="A2037" s="35"/>
    </row>
    <row r="2038" spans="1:1" x14ac:dyDescent="0.25">
      <c r="A2038" s="35"/>
    </row>
    <row r="2039" spans="1:1" x14ac:dyDescent="0.25">
      <c r="A2039" s="35"/>
    </row>
    <row r="2040" spans="1:1" x14ac:dyDescent="0.25">
      <c r="A2040" s="35"/>
    </row>
    <row r="2041" spans="1:1" x14ac:dyDescent="0.25">
      <c r="A2041" s="35"/>
    </row>
    <row r="2042" spans="1:1" x14ac:dyDescent="0.25">
      <c r="A2042" s="35"/>
    </row>
    <row r="2043" spans="1:1" x14ac:dyDescent="0.25">
      <c r="A2043" s="35"/>
    </row>
    <row r="2044" spans="1:1" x14ac:dyDescent="0.25">
      <c r="A2044" s="35"/>
    </row>
    <row r="2045" spans="1:1" x14ac:dyDescent="0.25">
      <c r="A2045" s="35"/>
    </row>
    <row r="2046" spans="1:1" x14ac:dyDescent="0.25">
      <c r="A2046" s="35"/>
    </row>
    <row r="2047" spans="1:1" x14ac:dyDescent="0.25">
      <c r="A2047" s="35"/>
    </row>
    <row r="2048" spans="1:1" x14ac:dyDescent="0.25">
      <c r="A2048" s="35"/>
    </row>
    <row r="2049" spans="1:1" x14ac:dyDescent="0.25">
      <c r="A2049" s="35"/>
    </row>
    <row r="2050" spans="1:1" x14ac:dyDescent="0.25">
      <c r="A2050" s="35"/>
    </row>
    <row r="2051" spans="1:1" x14ac:dyDescent="0.25">
      <c r="A2051" s="35"/>
    </row>
    <row r="2052" spans="1:1" x14ac:dyDescent="0.25">
      <c r="A2052" s="35"/>
    </row>
    <row r="2053" spans="1:1" x14ac:dyDescent="0.25">
      <c r="A2053" s="35"/>
    </row>
    <row r="2054" spans="1:1" x14ac:dyDescent="0.25">
      <c r="A2054" s="35"/>
    </row>
    <row r="2055" spans="1:1" x14ac:dyDescent="0.25">
      <c r="A2055" s="35"/>
    </row>
    <row r="2056" spans="1:1" x14ac:dyDescent="0.25">
      <c r="A2056" s="35"/>
    </row>
    <row r="2057" spans="1:1" x14ac:dyDescent="0.25">
      <c r="A2057" s="35"/>
    </row>
    <row r="2058" spans="1:1" x14ac:dyDescent="0.25">
      <c r="A2058" s="35"/>
    </row>
    <row r="2059" spans="1:1" x14ac:dyDescent="0.25">
      <c r="A2059" s="35"/>
    </row>
    <row r="2060" spans="1:1" x14ac:dyDescent="0.25">
      <c r="A2060" s="35"/>
    </row>
    <row r="2061" spans="1:1" x14ac:dyDescent="0.25">
      <c r="A2061" s="35"/>
    </row>
    <row r="2062" spans="1:1" x14ac:dyDescent="0.25">
      <c r="A2062" s="35"/>
    </row>
    <row r="2063" spans="1:1" x14ac:dyDescent="0.25">
      <c r="A2063" s="35"/>
    </row>
    <row r="2064" spans="1:1" x14ac:dyDescent="0.25">
      <c r="A2064" s="35"/>
    </row>
    <row r="2065" spans="1:1" x14ac:dyDescent="0.25">
      <c r="A2065" s="35"/>
    </row>
    <row r="2066" spans="1:1" x14ac:dyDescent="0.25">
      <c r="A2066" s="35"/>
    </row>
    <row r="2067" spans="1:1" x14ac:dyDescent="0.25">
      <c r="A2067" s="35"/>
    </row>
    <row r="2068" spans="1:1" x14ac:dyDescent="0.25">
      <c r="A2068" s="35"/>
    </row>
    <row r="2069" spans="1:1" x14ac:dyDescent="0.25">
      <c r="A2069" s="35"/>
    </row>
    <row r="2070" spans="1:1" x14ac:dyDescent="0.25">
      <c r="A2070" s="35"/>
    </row>
    <row r="2071" spans="1:1" x14ac:dyDescent="0.25">
      <c r="A2071" s="35"/>
    </row>
    <row r="2072" spans="1:1" x14ac:dyDescent="0.25">
      <c r="A2072" s="35"/>
    </row>
    <row r="2073" spans="1:1" x14ac:dyDescent="0.25">
      <c r="A2073" s="35"/>
    </row>
    <row r="2074" spans="1:1" x14ac:dyDescent="0.25">
      <c r="A2074" s="35"/>
    </row>
    <row r="2075" spans="1:1" x14ac:dyDescent="0.25">
      <c r="A2075" s="35"/>
    </row>
    <row r="2076" spans="1:1" x14ac:dyDescent="0.25">
      <c r="A2076" s="35"/>
    </row>
    <row r="2077" spans="1:1" x14ac:dyDescent="0.25">
      <c r="A2077" s="35"/>
    </row>
    <row r="2078" spans="1:1" x14ac:dyDescent="0.25">
      <c r="A2078" s="35"/>
    </row>
    <row r="2079" spans="1:1" x14ac:dyDescent="0.25">
      <c r="A2079" s="35"/>
    </row>
    <row r="2080" spans="1:1" x14ac:dyDescent="0.25">
      <c r="A2080" s="35"/>
    </row>
    <row r="2081" spans="1:1" x14ac:dyDescent="0.25">
      <c r="A2081" s="35"/>
    </row>
    <row r="2082" spans="1:1" x14ac:dyDescent="0.25">
      <c r="A2082" s="35"/>
    </row>
    <row r="2083" spans="1:1" x14ac:dyDescent="0.25">
      <c r="A2083" s="35"/>
    </row>
    <row r="2084" spans="1:1" x14ac:dyDescent="0.25">
      <c r="A2084" s="35"/>
    </row>
    <row r="2085" spans="1:1" x14ac:dyDescent="0.25">
      <c r="A2085" s="35"/>
    </row>
    <row r="2086" spans="1:1" x14ac:dyDescent="0.25">
      <c r="A2086" s="35"/>
    </row>
    <row r="2087" spans="1:1" x14ac:dyDescent="0.25">
      <c r="A2087" s="35"/>
    </row>
    <row r="2088" spans="1:1" x14ac:dyDescent="0.25">
      <c r="A2088" s="35"/>
    </row>
    <row r="2089" spans="1:1" x14ac:dyDescent="0.25">
      <c r="A2089" s="35"/>
    </row>
    <row r="2090" spans="1:1" x14ac:dyDescent="0.25">
      <c r="A2090" s="35"/>
    </row>
    <row r="2091" spans="1:1" x14ac:dyDescent="0.25">
      <c r="A2091" s="35"/>
    </row>
    <row r="2092" spans="1:1" x14ac:dyDescent="0.25">
      <c r="A2092" s="35"/>
    </row>
    <row r="2093" spans="1:1" x14ac:dyDescent="0.25">
      <c r="A2093" s="35"/>
    </row>
    <row r="2094" spans="1:1" x14ac:dyDescent="0.25">
      <c r="A2094" s="35"/>
    </row>
    <row r="2095" spans="1:1" x14ac:dyDescent="0.25">
      <c r="A2095" s="35"/>
    </row>
    <row r="2096" spans="1:1" x14ac:dyDescent="0.25">
      <c r="A2096" s="35"/>
    </row>
    <row r="2097" spans="1:1" x14ac:dyDescent="0.25">
      <c r="A2097" s="35"/>
    </row>
    <row r="2098" spans="1:1" x14ac:dyDescent="0.25">
      <c r="A2098" s="35"/>
    </row>
    <row r="2099" spans="1:1" x14ac:dyDescent="0.25">
      <c r="A2099" s="35"/>
    </row>
    <row r="2100" spans="1:1" x14ac:dyDescent="0.25">
      <c r="A2100" s="35"/>
    </row>
    <row r="2101" spans="1:1" x14ac:dyDescent="0.25">
      <c r="A2101" s="35"/>
    </row>
    <row r="2102" spans="1:1" x14ac:dyDescent="0.25">
      <c r="A2102" s="35"/>
    </row>
    <row r="2103" spans="1:1" x14ac:dyDescent="0.25">
      <c r="A2103" s="35"/>
    </row>
    <row r="2104" spans="1:1" x14ac:dyDescent="0.25">
      <c r="A2104" s="35"/>
    </row>
    <row r="2105" spans="1:1" x14ac:dyDescent="0.25">
      <c r="A2105" s="35"/>
    </row>
    <row r="2106" spans="1:1" x14ac:dyDescent="0.25">
      <c r="A2106" s="35"/>
    </row>
    <row r="2107" spans="1:1" x14ac:dyDescent="0.25">
      <c r="A2107" s="35"/>
    </row>
    <row r="2108" spans="1:1" x14ac:dyDescent="0.25">
      <c r="A2108" s="35"/>
    </row>
    <row r="2109" spans="1:1" x14ac:dyDescent="0.25">
      <c r="A2109" s="35"/>
    </row>
    <row r="2110" spans="1:1" x14ac:dyDescent="0.25">
      <c r="A2110" s="35"/>
    </row>
    <row r="2111" spans="1:1" x14ac:dyDescent="0.25">
      <c r="A2111" s="35"/>
    </row>
    <row r="2112" spans="1:1" x14ac:dyDescent="0.25">
      <c r="A2112" s="35"/>
    </row>
    <row r="2113" spans="1:1" x14ac:dyDescent="0.25">
      <c r="A2113" s="35"/>
    </row>
    <row r="2114" spans="1:1" x14ac:dyDescent="0.25">
      <c r="A2114" s="35"/>
    </row>
    <row r="2115" spans="1:1" x14ac:dyDescent="0.25">
      <c r="A2115" s="35"/>
    </row>
    <row r="2116" spans="1:1" x14ac:dyDescent="0.25">
      <c r="A2116" s="35"/>
    </row>
    <row r="2117" spans="1:1" x14ac:dyDescent="0.25">
      <c r="A2117" s="35"/>
    </row>
    <row r="2118" spans="1:1" x14ac:dyDescent="0.25">
      <c r="A2118" s="35"/>
    </row>
    <row r="2119" spans="1:1" x14ac:dyDescent="0.25">
      <c r="A2119" s="35"/>
    </row>
    <row r="2120" spans="1:1" x14ac:dyDescent="0.25">
      <c r="A2120" s="35"/>
    </row>
    <row r="2121" spans="1:1" x14ac:dyDescent="0.25">
      <c r="A2121" s="35"/>
    </row>
    <row r="2122" spans="1:1" x14ac:dyDescent="0.25">
      <c r="A2122" s="35"/>
    </row>
    <row r="2123" spans="1:1" x14ac:dyDescent="0.25">
      <c r="A2123" s="35"/>
    </row>
    <row r="2124" spans="1:1" x14ac:dyDescent="0.25">
      <c r="A2124" s="35"/>
    </row>
    <row r="2125" spans="1:1" x14ac:dyDescent="0.25">
      <c r="A2125" s="35"/>
    </row>
    <row r="2126" spans="1:1" x14ac:dyDescent="0.25">
      <c r="A2126" s="35"/>
    </row>
    <row r="2127" spans="1:1" x14ac:dyDescent="0.25">
      <c r="A2127" s="35"/>
    </row>
    <row r="2128" spans="1:1" x14ac:dyDescent="0.25">
      <c r="A2128" s="35"/>
    </row>
    <row r="2129" spans="1:1" x14ac:dyDescent="0.25">
      <c r="A2129" s="35"/>
    </row>
    <row r="2130" spans="1:1" x14ac:dyDescent="0.25">
      <c r="A2130" s="35"/>
    </row>
    <row r="2131" spans="1:1" x14ac:dyDescent="0.25">
      <c r="A2131" s="35"/>
    </row>
    <row r="2132" spans="1:1" x14ac:dyDescent="0.25">
      <c r="A2132" s="35"/>
    </row>
    <row r="2133" spans="1:1" x14ac:dyDescent="0.25">
      <c r="A2133" s="35"/>
    </row>
    <row r="2134" spans="1:1" x14ac:dyDescent="0.25">
      <c r="A2134" s="35"/>
    </row>
    <row r="2135" spans="1:1" x14ac:dyDescent="0.25">
      <c r="A2135" s="35"/>
    </row>
    <row r="2136" spans="1:1" x14ac:dyDescent="0.25">
      <c r="A2136" s="35"/>
    </row>
    <row r="2137" spans="1:1" x14ac:dyDescent="0.25">
      <c r="A2137" s="35"/>
    </row>
    <row r="2138" spans="1:1" x14ac:dyDescent="0.25">
      <c r="A2138" s="35"/>
    </row>
    <row r="2139" spans="1:1" x14ac:dyDescent="0.25">
      <c r="A2139" s="35"/>
    </row>
    <row r="2140" spans="1:1" x14ac:dyDescent="0.25">
      <c r="A2140" s="35"/>
    </row>
    <row r="2141" spans="1:1" x14ac:dyDescent="0.25">
      <c r="A2141" s="35"/>
    </row>
    <row r="2142" spans="1:1" x14ac:dyDescent="0.25">
      <c r="A2142" s="35"/>
    </row>
    <row r="2143" spans="1:1" x14ac:dyDescent="0.25">
      <c r="A2143" s="35"/>
    </row>
    <row r="2144" spans="1:1" x14ac:dyDescent="0.25">
      <c r="A2144" s="35"/>
    </row>
    <row r="2145" spans="1:1" x14ac:dyDescent="0.25">
      <c r="A2145" s="35"/>
    </row>
    <row r="2146" spans="1:1" x14ac:dyDescent="0.25">
      <c r="A2146" s="35"/>
    </row>
    <row r="2147" spans="1:1" x14ac:dyDescent="0.25">
      <c r="A2147" s="35"/>
    </row>
    <row r="2148" spans="1:1" x14ac:dyDescent="0.25">
      <c r="A2148" s="35"/>
    </row>
    <row r="2149" spans="1:1" x14ac:dyDescent="0.25">
      <c r="A2149" s="35"/>
    </row>
    <row r="2150" spans="1:1" x14ac:dyDescent="0.25">
      <c r="A2150" s="35"/>
    </row>
    <row r="2151" spans="1:1" x14ac:dyDescent="0.25">
      <c r="A2151" s="35"/>
    </row>
    <row r="2152" spans="1:1" x14ac:dyDescent="0.25">
      <c r="A2152" s="35"/>
    </row>
    <row r="2153" spans="1:1" x14ac:dyDescent="0.25">
      <c r="A2153" s="35"/>
    </row>
    <row r="2154" spans="1:1" x14ac:dyDescent="0.25">
      <c r="A2154" s="35"/>
    </row>
    <row r="2155" spans="1:1" x14ac:dyDescent="0.25">
      <c r="A2155" s="35"/>
    </row>
    <row r="2156" spans="1:1" x14ac:dyDescent="0.25">
      <c r="A2156" s="35"/>
    </row>
    <row r="2157" spans="1:1" x14ac:dyDescent="0.25">
      <c r="A2157" s="35"/>
    </row>
    <row r="2158" spans="1:1" x14ac:dyDescent="0.25">
      <c r="A2158" s="35"/>
    </row>
    <row r="2159" spans="1:1" x14ac:dyDescent="0.25">
      <c r="A2159" s="35"/>
    </row>
    <row r="2160" spans="1:1" x14ac:dyDescent="0.25">
      <c r="A2160" s="35"/>
    </row>
    <row r="2161" spans="1:1" x14ac:dyDescent="0.25">
      <c r="A2161" s="35"/>
    </row>
    <row r="2162" spans="1:1" x14ac:dyDescent="0.25">
      <c r="A2162" s="35"/>
    </row>
    <row r="2163" spans="1:1" x14ac:dyDescent="0.25">
      <c r="A2163" s="35"/>
    </row>
    <row r="2164" spans="1:1" x14ac:dyDescent="0.25">
      <c r="A2164" s="35"/>
    </row>
    <row r="2165" spans="1:1" x14ac:dyDescent="0.25">
      <c r="A2165" s="35"/>
    </row>
    <row r="2166" spans="1:1" x14ac:dyDescent="0.25">
      <c r="A2166" s="35"/>
    </row>
    <row r="2167" spans="1:1" x14ac:dyDescent="0.25">
      <c r="A2167" s="35"/>
    </row>
    <row r="2168" spans="1:1" x14ac:dyDescent="0.25">
      <c r="A2168" s="35"/>
    </row>
    <row r="2169" spans="1:1" x14ac:dyDescent="0.25">
      <c r="A2169" s="35"/>
    </row>
    <row r="2170" spans="1:1" x14ac:dyDescent="0.25">
      <c r="A2170" s="35"/>
    </row>
    <row r="2171" spans="1:1" x14ac:dyDescent="0.25">
      <c r="A2171" s="35"/>
    </row>
    <row r="2172" spans="1:1" x14ac:dyDescent="0.25">
      <c r="A2172" s="35"/>
    </row>
    <row r="2173" spans="1:1" x14ac:dyDescent="0.25">
      <c r="A2173" s="35"/>
    </row>
    <row r="2174" spans="1:1" x14ac:dyDescent="0.25">
      <c r="A2174" s="35"/>
    </row>
    <row r="2175" spans="1:1" x14ac:dyDescent="0.25">
      <c r="A2175" s="35"/>
    </row>
    <row r="2176" spans="1:1" x14ac:dyDescent="0.25">
      <c r="A2176" s="35"/>
    </row>
    <row r="2177" spans="1:1" x14ac:dyDescent="0.25">
      <c r="A2177" s="35"/>
    </row>
    <row r="2178" spans="1:1" x14ac:dyDescent="0.25">
      <c r="A2178" s="35"/>
    </row>
    <row r="2179" spans="1:1" x14ac:dyDescent="0.25">
      <c r="A2179" s="35"/>
    </row>
    <row r="2180" spans="1:1" x14ac:dyDescent="0.25">
      <c r="A2180" s="35"/>
    </row>
    <row r="2181" spans="1:1" x14ac:dyDescent="0.25">
      <c r="A2181" s="35"/>
    </row>
    <row r="2182" spans="1:1" x14ac:dyDescent="0.25">
      <c r="A2182" s="35"/>
    </row>
    <row r="2183" spans="1:1" x14ac:dyDescent="0.25">
      <c r="A2183" s="35"/>
    </row>
    <row r="2184" spans="1:1" x14ac:dyDescent="0.25">
      <c r="A2184" s="35"/>
    </row>
    <row r="2185" spans="1:1" x14ac:dyDescent="0.25">
      <c r="A2185" s="35"/>
    </row>
    <row r="2186" spans="1:1" x14ac:dyDescent="0.25">
      <c r="A2186" s="35"/>
    </row>
    <row r="2187" spans="1:1" x14ac:dyDescent="0.25">
      <c r="A2187" s="35"/>
    </row>
    <row r="2188" spans="1:1" x14ac:dyDescent="0.25">
      <c r="A2188" s="35"/>
    </row>
    <row r="2189" spans="1:1" x14ac:dyDescent="0.25">
      <c r="A2189" s="35"/>
    </row>
    <row r="2190" spans="1:1" x14ac:dyDescent="0.25">
      <c r="A2190" s="35"/>
    </row>
    <row r="2191" spans="1:1" x14ac:dyDescent="0.25">
      <c r="A2191" s="35"/>
    </row>
    <row r="2192" spans="1:1" x14ac:dyDescent="0.25">
      <c r="A2192" s="35"/>
    </row>
    <row r="2193" spans="1:1" x14ac:dyDescent="0.25">
      <c r="A2193" s="35"/>
    </row>
    <row r="2194" spans="1:1" x14ac:dyDescent="0.25">
      <c r="A2194" s="35"/>
    </row>
    <row r="2195" spans="1:1" x14ac:dyDescent="0.25">
      <c r="A2195" s="35"/>
    </row>
    <row r="2196" spans="1:1" x14ac:dyDescent="0.25">
      <c r="A2196" s="35"/>
    </row>
    <row r="2197" spans="1:1" x14ac:dyDescent="0.25">
      <c r="A2197" s="35"/>
    </row>
    <row r="2198" spans="1:1" x14ac:dyDescent="0.25">
      <c r="A2198" s="35"/>
    </row>
    <row r="2199" spans="1:1" x14ac:dyDescent="0.25">
      <c r="A2199" s="35"/>
    </row>
    <row r="2200" spans="1:1" x14ac:dyDescent="0.25">
      <c r="A2200" s="35"/>
    </row>
    <row r="2201" spans="1:1" x14ac:dyDescent="0.25">
      <c r="A2201" s="35"/>
    </row>
    <row r="2202" spans="1:1" x14ac:dyDescent="0.25">
      <c r="A2202" s="35"/>
    </row>
    <row r="2203" spans="1:1" x14ac:dyDescent="0.25">
      <c r="A2203" s="35"/>
    </row>
    <row r="2204" spans="1:1" x14ac:dyDescent="0.25">
      <c r="A2204" s="35"/>
    </row>
    <row r="2205" spans="1:1" x14ac:dyDescent="0.25">
      <c r="A2205" s="35"/>
    </row>
    <row r="2206" spans="1:1" x14ac:dyDescent="0.25">
      <c r="A2206" s="35"/>
    </row>
    <row r="2207" spans="1:1" x14ac:dyDescent="0.25">
      <c r="A2207" s="35"/>
    </row>
    <row r="2208" spans="1:1" x14ac:dyDescent="0.25">
      <c r="A2208" s="35"/>
    </row>
    <row r="2209" spans="1:1" x14ac:dyDescent="0.25">
      <c r="A2209" s="35"/>
    </row>
    <row r="2210" spans="1:1" x14ac:dyDescent="0.25">
      <c r="A2210" s="35"/>
    </row>
    <row r="2211" spans="1:1" x14ac:dyDescent="0.25">
      <c r="A2211" s="35"/>
    </row>
    <row r="2212" spans="1:1" x14ac:dyDescent="0.25">
      <c r="A2212" s="35"/>
    </row>
    <row r="2213" spans="1:1" x14ac:dyDescent="0.25">
      <c r="A2213" s="35"/>
    </row>
    <row r="2214" spans="1:1" x14ac:dyDescent="0.25">
      <c r="A2214" s="35"/>
    </row>
    <row r="2215" spans="1:1" x14ac:dyDescent="0.25">
      <c r="A2215" s="35"/>
    </row>
    <row r="2216" spans="1:1" x14ac:dyDescent="0.25">
      <c r="A2216" s="35"/>
    </row>
    <row r="2217" spans="1:1" x14ac:dyDescent="0.25">
      <c r="A2217" s="35"/>
    </row>
    <row r="2218" spans="1:1" x14ac:dyDescent="0.25">
      <c r="A2218" s="35"/>
    </row>
    <row r="2219" spans="1:1" x14ac:dyDescent="0.25">
      <c r="A2219" s="35"/>
    </row>
    <row r="2220" spans="1:1" x14ac:dyDescent="0.25">
      <c r="A2220" s="35"/>
    </row>
    <row r="2221" spans="1:1" x14ac:dyDescent="0.25">
      <c r="A2221" s="35"/>
    </row>
    <row r="2222" spans="1:1" x14ac:dyDescent="0.25">
      <c r="A2222" s="35"/>
    </row>
    <row r="2223" spans="1:1" x14ac:dyDescent="0.25">
      <c r="A2223" s="35"/>
    </row>
    <row r="2224" spans="1:1" x14ac:dyDescent="0.25">
      <c r="A2224" s="35"/>
    </row>
    <row r="2225" spans="1:1" x14ac:dyDescent="0.25">
      <c r="A2225" s="35"/>
    </row>
    <row r="2226" spans="1:1" x14ac:dyDescent="0.25">
      <c r="A2226" s="35"/>
    </row>
    <row r="2227" spans="1:1" x14ac:dyDescent="0.25">
      <c r="A2227" s="35"/>
    </row>
    <row r="2228" spans="1:1" x14ac:dyDescent="0.25">
      <c r="A2228" s="35"/>
    </row>
    <row r="2229" spans="1:1" x14ac:dyDescent="0.25">
      <c r="A2229" s="35"/>
    </row>
    <row r="2230" spans="1:1" x14ac:dyDescent="0.25">
      <c r="A2230" s="35"/>
    </row>
    <row r="2231" spans="1:1" x14ac:dyDescent="0.25">
      <c r="A2231" s="35"/>
    </row>
    <row r="2232" spans="1:1" x14ac:dyDescent="0.25">
      <c r="A2232" s="35"/>
    </row>
    <row r="2233" spans="1:1" x14ac:dyDescent="0.25">
      <c r="A2233" s="35"/>
    </row>
    <row r="2234" spans="1:1" x14ac:dyDescent="0.25">
      <c r="A2234" s="35"/>
    </row>
    <row r="2235" spans="1:1" x14ac:dyDescent="0.25">
      <c r="A2235" s="35"/>
    </row>
    <row r="2236" spans="1:1" x14ac:dyDescent="0.25">
      <c r="A2236" s="35"/>
    </row>
    <row r="2237" spans="1:1" x14ac:dyDescent="0.25">
      <c r="A2237" s="35"/>
    </row>
    <row r="2238" spans="1:1" x14ac:dyDescent="0.25">
      <c r="A2238" s="35"/>
    </row>
    <row r="2239" spans="1:1" x14ac:dyDescent="0.25">
      <c r="A2239" s="35"/>
    </row>
    <row r="2240" spans="1:1" x14ac:dyDescent="0.25">
      <c r="A2240" s="35"/>
    </row>
    <row r="2241" spans="1:1" x14ac:dyDescent="0.25">
      <c r="A2241" s="35"/>
    </row>
    <row r="2242" spans="1:1" x14ac:dyDescent="0.25">
      <c r="A2242" s="35"/>
    </row>
    <row r="2243" spans="1:1" x14ac:dyDescent="0.25">
      <c r="A2243" s="35"/>
    </row>
    <row r="2244" spans="1:1" x14ac:dyDescent="0.25">
      <c r="A2244" s="35"/>
    </row>
    <row r="2245" spans="1:1" x14ac:dyDescent="0.25">
      <c r="A2245" s="35"/>
    </row>
    <row r="2246" spans="1:1" x14ac:dyDescent="0.25">
      <c r="A2246" s="35"/>
    </row>
    <row r="2247" spans="1:1" x14ac:dyDescent="0.25">
      <c r="A2247" s="35"/>
    </row>
    <row r="2248" spans="1:1" x14ac:dyDescent="0.25">
      <c r="A2248" s="35"/>
    </row>
    <row r="2249" spans="1:1" x14ac:dyDescent="0.25">
      <c r="A2249" s="35"/>
    </row>
    <row r="2250" spans="1:1" x14ac:dyDescent="0.25">
      <c r="A2250" s="35"/>
    </row>
    <row r="2251" spans="1:1" x14ac:dyDescent="0.25">
      <c r="A2251" s="35"/>
    </row>
    <row r="2252" spans="1:1" x14ac:dyDescent="0.25">
      <c r="A2252" s="35"/>
    </row>
    <row r="2253" spans="1:1" x14ac:dyDescent="0.25">
      <c r="A2253" s="35"/>
    </row>
    <row r="2254" spans="1:1" x14ac:dyDescent="0.25">
      <c r="A2254" s="35"/>
    </row>
    <row r="2255" spans="1:1" x14ac:dyDescent="0.25">
      <c r="A2255" s="35"/>
    </row>
    <row r="2256" spans="1:1" x14ac:dyDescent="0.25">
      <c r="A2256" s="35"/>
    </row>
    <row r="2257" spans="1:1" x14ac:dyDescent="0.25">
      <c r="A2257" s="35"/>
    </row>
    <row r="2258" spans="1:1" x14ac:dyDescent="0.25">
      <c r="A2258" s="35"/>
    </row>
    <row r="2259" spans="1:1" x14ac:dyDescent="0.25">
      <c r="A2259" s="35"/>
    </row>
    <row r="2260" spans="1:1" x14ac:dyDescent="0.25">
      <c r="A2260" s="35"/>
    </row>
    <row r="2261" spans="1:1" x14ac:dyDescent="0.25">
      <c r="A2261" s="35"/>
    </row>
    <row r="2262" spans="1:1" x14ac:dyDescent="0.25">
      <c r="A2262" s="35"/>
    </row>
    <row r="2263" spans="1:1" x14ac:dyDescent="0.25">
      <c r="A2263" s="35"/>
    </row>
    <row r="2264" spans="1:1" x14ac:dyDescent="0.25">
      <c r="A2264" s="35"/>
    </row>
    <row r="2265" spans="1:1" x14ac:dyDescent="0.25">
      <c r="A2265" s="35"/>
    </row>
    <row r="2266" spans="1:1" x14ac:dyDescent="0.25">
      <c r="A2266" s="35"/>
    </row>
    <row r="2267" spans="1:1" x14ac:dyDescent="0.25">
      <c r="A2267" s="35"/>
    </row>
    <row r="2268" spans="1:1" x14ac:dyDescent="0.25">
      <c r="A2268" s="35"/>
    </row>
    <row r="2269" spans="1:1" x14ac:dyDescent="0.25">
      <c r="A2269" s="35"/>
    </row>
    <row r="2270" spans="1:1" x14ac:dyDescent="0.25">
      <c r="A2270" s="35"/>
    </row>
    <row r="2271" spans="1:1" x14ac:dyDescent="0.25">
      <c r="A2271" s="35"/>
    </row>
    <row r="2272" spans="1:1" x14ac:dyDescent="0.25">
      <c r="A2272" s="35"/>
    </row>
    <row r="2273" spans="1:1" x14ac:dyDescent="0.25">
      <c r="A2273" s="35"/>
    </row>
    <row r="2274" spans="1:1" x14ac:dyDescent="0.25">
      <c r="A2274" s="35"/>
    </row>
    <row r="2275" spans="1:1" x14ac:dyDescent="0.25">
      <c r="A2275" s="35"/>
    </row>
    <row r="2276" spans="1:1" x14ac:dyDescent="0.25">
      <c r="A2276" s="35"/>
    </row>
    <row r="2277" spans="1:1" x14ac:dyDescent="0.25">
      <c r="A2277" s="35"/>
    </row>
    <row r="2278" spans="1:1" x14ac:dyDescent="0.25">
      <c r="A2278" s="35"/>
    </row>
    <row r="2279" spans="1:1" x14ac:dyDescent="0.25">
      <c r="A2279" s="35"/>
    </row>
    <row r="2280" spans="1:1" x14ac:dyDescent="0.25">
      <c r="A2280" s="35"/>
    </row>
    <row r="2281" spans="1:1" x14ac:dyDescent="0.25">
      <c r="A2281" s="35"/>
    </row>
    <row r="2282" spans="1:1" x14ac:dyDescent="0.25">
      <c r="A2282" s="35"/>
    </row>
    <row r="2283" spans="1:1" x14ac:dyDescent="0.25">
      <c r="A2283" s="35"/>
    </row>
    <row r="2284" spans="1:1" x14ac:dyDescent="0.25">
      <c r="A2284" s="35"/>
    </row>
    <row r="2285" spans="1:1" x14ac:dyDescent="0.25">
      <c r="A2285" s="35"/>
    </row>
    <row r="2286" spans="1:1" x14ac:dyDescent="0.25">
      <c r="A2286" s="35"/>
    </row>
    <row r="2287" spans="1:1" x14ac:dyDescent="0.25">
      <c r="A2287" s="35"/>
    </row>
    <row r="2288" spans="1:1" x14ac:dyDescent="0.25">
      <c r="A2288" s="35"/>
    </row>
    <row r="2289" spans="1:1" x14ac:dyDescent="0.25">
      <c r="A2289" s="35"/>
    </row>
    <row r="2290" spans="1:1" x14ac:dyDescent="0.25">
      <c r="A2290" s="35"/>
    </row>
    <row r="2291" spans="1:1" x14ac:dyDescent="0.25">
      <c r="A2291" s="35"/>
    </row>
    <row r="2292" spans="1:1" x14ac:dyDescent="0.25">
      <c r="A2292" s="35"/>
    </row>
    <row r="2293" spans="1:1" x14ac:dyDescent="0.25">
      <c r="A2293" s="35"/>
    </row>
    <row r="2294" spans="1:1" x14ac:dyDescent="0.25">
      <c r="A2294" s="35"/>
    </row>
    <row r="2295" spans="1:1" x14ac:dyDescent="0.25">
      <c r="A2295" s="35"/>
    </row>
    <row r="2296" spans="1:1" x14ac:dyDescent="0.25">
      <c r="A2296" s="35"/>
    </row>
    <row r="2297" spans="1:1" x14ac:dyDescent="0.25">
      <c r="A2297" s="35"/>
    </row>
    <row r="2298" spans="1:1" x14ac:dyDescent="0.25">
      <c r="A2298" s="35"/>
    </row>
    <row r="2299" spans="1:1" x14ac:dyDescent="0.25">
      <c r="A2299" s="35"/>
    </row>
    <row r="2300" spans="1:1" x14ac:dyDescent="0.25">
      <c r="A2300" s="35"/>
    </row>
    <row r="2301" spans="1:1" x14ac:dyDescent="0.25">
      <c r="A2301" s="35"/>
    </row>
    <row r="2302" spans="1:1" x14ac:dyDescent="0.25">
      <c r="A2302" s="35"/>
    </row>
    <row r="2303" spans="1:1" x14ac:dyDescent="0.25">
      <c r="A2303" s="35"/>
    </row>
    <row r="2304" spans="1:1" x14ac:dyDescent="0.25">
      <c r="A2304" s="35"/>
    </row>
    <row r="2305" spans="1:1" x14ac:dyDescent="0.25">
      <c r="A2305" s="35"/>
    </row>
    <row r="2306" spans="1:1" x14ac:dyDescent="0.25">
      <c r="A2306" s="35"/>
    </row>
    <row r="2307" spans="1:1" x14ac:dyDescent="0.25">
      <c r="A2307" s="35"/>
    </row>
    <row r="2308" spans="1:1" x14ac:dyDescent="0.25">
      <c r="A2308" s="35"/>
    </row>
    <row r="2309" spans="1:1" x14ac:dyDescent="0.25">
      <c r="A2309" s="35"/>
    </row>
    <row r="2310" spans="1:1" x14ac:dyDescent="0.25">
      <c r="A2310" s="35"/>
    </row>
    <row r="2311" spans="1:1" x14ac:dyDescent="0.25">
      <c r="A2311" s="35"/>
    </row>
    <row r="2312" spans="1:1" x14ac:dyDescent="0.25">
      <c r="A2312" s="35"/>
    </row>
    <row r="2313" spans="1:1" x14ac:dyDescent="0.25">
      <c r="A2313" s="35"/>
    </row>
    <row r="2314" spans="1:1" x14ac:dyDescent="0.25">
      <c r="A2314" s="35"/>
    </row>
    <row r="2315" spans="1:1" x14ac:dyDescent="0.25">
      <c r="A2315" s="35"/>
    </row>
    <row r="2316" spans="1:1" x14ac:dyDescent="0.25">
      <c r="A2316" s="35"/>
    </row>
    <row r="2317" spans="1:1" x14ac:dyDescent="0.25">
      <c r="A2317" s="35"/>
    </row>
    <row r="2318" spans="1:1" x14ac:dyDescent="0.25">
      <c r="A2318" s="35"/>
    </row>
    <row r="2319" spans="1:1" x14ac:dyDescent="0.25">
      <c r="A2319" s="35"/>
    </row>
    <row r="2320" spans="1:1" x14ac:dyDescent="0.25">
      <c r="A2320" s="35"/>
    </row>
    <row r="2321" spans="1:1" x14ac:dyDescent="0.25">
      <c r="A2321" s="35"/>
    </row>
    <row r="2322" spans="1:1" x14ac:dyDescent="0.25">
      <c r="A2322" s="35"/>
    </row>
    <row r="2323" spans="1:1" x14ac:dyDescent="0.25">
      <c r="A2323" s="35"/>
    </row>
    <row r="2324" spans="1:1" x14ac:dyDescent="0.25">
      <c r="A2324" s="35"/>
    </row>
    <row r="2325" spans="1:1" x14ac:dyDescent="0.25">
      <c r="A2325" s="35"/>
    </row>
    <row r="2326" spans="1:1" x14ac:dyDescent="0.25">
      <c r="A2326" s="35"/>
    </row>
    <row r="2327" spans="1:1" x14ac:dyDescent="0.25">
      <c r="A2327" s="35"/>
    </row>
    <row r="2328" spans="1:1" x14ac:dyDescent="0.25">
      <c r="A2328" s="35"/>
    </row>
    <row r="2329" spans="1:1" x14ac:dyDescent="0.25">
      <c r="A2329" s="35"/>
    </row>
    <row r="2330" spans="1:1" x14ac:dyDescent="0.25">
      <c r="A2330" s="35"/>
    </row>
    <row r="2331" spans="1:1" x14ac:dyDescent="0.25">
      <c r="A2331" s="35"/>
    </row>
    <row r="2332" spans="1:1" x14ac:dyDescent="0.25">
      <c r="A2332" s="35"/>
    </row>
    <row r="2333" spans="1:1" x14ac:dyDescent="0.25">
      <c r="A2333" s="35"/>
    </row>
    <row r="2334" spans="1:1" x14ac:dyDescent="0.25">
      <c r="A2334" s="35"/>
    </row>
    <row r="2335" spans="1:1" x14ac:dyDescent="0.25">
      <c r="A2335" s="35"/>
    </row>
    <row r="2336" spans="1:1" x14ac:dyDescent="0.25">
      <c r="A2336" s="35"/>
    </row>
    <row r="2337" spans="1:1" x14ac:dyDescent="0.25">
      <c r="A2337" s="35"/>
    </row>
    <row r="2338" spans="1:1" x14ac:dyDescent="0.25">
      <c r="A2338" s="35"/>
    </row>
    <row r="2339" spans="1:1" x14ac:dyDescent="0.25">
      <c r="A2339" s="35"/>
    </row>
    <row r="2340" spans="1:1" x14ac:dyDescent="0.25">
      <c r="A2340" s="35"/>
    </row>
    <row r="2341" spans="1:1" x14ac:dyDescent="0.25">
      <c r="A2341" s="35"/>
    </row>
    <row r="2342" spans="1:1" x14ac:dyDescent="0.25">
      <c r="A2342" s="35"/>
    </row>
    <row r="2343" spans="1:1" x14ac:dyDescent="0.25">
      <c r="A2343" s="35"/>
    </row>
    <row r="2344" spans="1:1" x14ac:dyDescent="0.25">
      <c r="A2344" s="35"/>
    </row>
    <row r="2345" spans="1:1" x14ac:dyDescent="0.25">
      <c r="A2345" s="35"/>
    </row>
    <row r="2346" spans="1:1" x14ac:dyDescent="0.25">
      <c r="A2346" s="35"/>
    </row>
    <row r="2347" spans="1:1" x14ac:dyDescent="0.25">
      <c r="A2347" s="35"/>
    </row>
    <row r="2348" spans="1:1" x14ac:dyDescent="0.25">
      <c r="A2348" s="35"/>
    </row>
    <row r="2349" spans="1:1" x14ac:dyDescent="0.25">
      <c r="A2349" s="35"/>
    </row>
    <row r="2350" spans="1:1" x14ac:dyDescent="0.25">
      <c r="A2350" s="35"/>
    </row>
    <row r="2351" spans="1:1" x14ac:dyDescent="0.25">
      <c r="A2351" s="35"/>
    </row>
    <row r="2352" spans="1:1" x14ac:dyDescent="0.25">
      <c r="A2352" s="35"/>
    </row>
    <row r="2353" spans="1:1" x14ac:dyDescent="0.25">
      <c r="A2353" s="35"/>
    </row>
    <row r="2354" spans="1:1" x14ac:dyDescent="0.25">
      <c r="A2354" s="35"/>
    </row>
    <row r="2355" spans="1:1" x14ac:dyDescent="0.25">
      <c r="A2355" s="35"/>
    </row>
    <row r="2356" spans="1:1" x14ac:dyDescent="0.25">
      <c r="A2356" s="35"/>
    </row>
    <row r="2357" spans="1:1" x14ac:dyDescent="0.25">
      <c r="A2357" s="35"/>
    </row>
    <row r="2358" spans="1:1" x14ac:dyDescent="0.25">
      <c r="A2358" s="35"/>
    </row>
    <row r="2359" spans="1:1" x14ac:dyDescent="0.25">
      <c r="A2359" s="35"/>
    </row>
    <row r="2360" spans="1:1" x14ac:dyDescent="0.25">
      <c r="A2360" s="35"/>
    </row>
    <row r="2361" spans="1:1" x14ac:dyDescent="0.25">
      <c r="A2361" s="35"/>
    </row>
    <row r="2362" spans="1:1" x14ac:dyDescent="0.25">
      <c r="A2362" s="35"/>
    </row>
    <row r="2363" spans="1:1" x14ac:dyDescent="0.25">
      <c r="A2363" s="35"/>
    </row>
    <row r="2364" spans="1:1" x14ac:dyDescent="0.25">
      <c r="A2364" s="35"/>
    </row>
    <row r="2365" spans="1:1" x14ac:dyDescent="0.25">
      <c r="A2365" s="35"/>
    </row>
    <row r="2366" spans="1:1" x14ac:dyDescent="0.25">
      <c r="A2366" s="35"/>
    </row>
    <row r="2367" spans="1:1" x14ac:dyDescent="0.25">
      <c r="A2367" s="35"/>
    </row>
    <row r="2368" spans="1:1" x14ac:dyDescent="0.25">
      <c r="A2368" s="35"/>
    </row>
    <row r="2369" spans="1:1" x14ac:dyDescent="0.25">
      <c r="A2369" s="35"/>
    </row>
    <row r="2370" spans="1:1" x14ac:dyDescent="0.25">
      <c r="A2370" s="35"/>
    </row>
    <row r="2371" spans="1:1" x14ac:dyDescent="0.25">
      <c r="A2371" s="35"/>
    </row>
    <row r="2372" spans="1:1" x14ac:dyDescent="0.25">
      <c r="A2372" s="35"/>
    </row>
    <row r="2373" spans="1:1" x14ac:dyDescent="0.25">
      <c r="A2373" s="35"/>
    </row>
    <row r="2374" spans="1:1" x14ac:dyDescent="0.25">
      <c r="A2374" s="35"/>
    </row>
    <row r="2375" spans="1:1" x14ac:dyDescent="0.25">
      <c r="A2375" s="35"/>
    </row>
    <row r="2376" spans="1:1" x14ac:dyDescent="0.25">
      <c r="A2376" s="35"/>
    </row>
    <row r="2377" spans="1:1" x14ac:dyDescent="0.25">
      <c r="A2377" s="35"/>
    </row>
    <row r="2378" spans="1:1" x14ac:dyDescent="0.25">
      <c r="A2378" s="35"/>
    </row>
    <row r="2379" spans="1:1" x14ac:dyDescent="0.25">
      <c r="A2379" s="35"/>
    </row>
    <row r="2380" spans="1:1" x14ac:dyDescent="0.25">
      <c r="A2380" s="35"/>
    </row>
    <row r="2381" spans="1:1" x14ac:dyDescent="0.25">
      <c r="A2381" s="35"/>
    </row>
    <row r="2382" spans="1:1" x14ac:dyDescent="0.25">
      <c r="A2382" s="35"/>
    </row>
    <row r="2383" spans="1:1" x14ac:dyDescent="0.25">
      <c r="A2383" s="35"/>
    </row>
    <row r="2384" spans="1:1" x14ac:dyDescent="0.25">
      <c r="A2384" s="35"/>
    </row>
    <row r="2385" spans="1:1" x14ac:dyDescent="0.25">
      <c r="A2385" s="35"/>
    </row>
    <row r="2386" spans="1:1" x14ac:dyDescent="0.25">
      <c r="A2386" s="35"/>
    </row>
    <row r="2387" spans="1:1" x14ac:dyDescent="0.25">
      <c r="A2387" s="35"/>
    </row>
    <row r="2388" spans="1:1" x14ac:dyDescent="0.25">
      <c r="A2388" s="35"/>
    </row>
    <row r="2389" spans="1:1" x14ac:dyDescent="0.25">
      <c r="A2389" s="35"/>
    </row>
    <row r="2390" spans="1:1" x14ac:dyDescent="0.25">
      <c r="A2390" s="35"/>
    </row>
    <row r="2391" spans="1:1" x14ac:dyDescent="0.25">
      <c r="A2391" s="35"/>
    </row>
    <row r="2392" spans="1:1" x14ac:dyDescent="0.25">
      <c r="A2392" s="35"/>
    </row>
    <row r="2393" spans="1:1" x14ac:dyDescent="0.25">
      <c r="A2393" s="35"/>
    </row>
    <row r="2394" spans="1:1" x14ac:dyDescent="0.25">
      <c r="A2394" s="35"/>
    </row>
    <row r="2395" spans="1:1" x14ac:dyDescent="0.25">
      <c r="A2395" s="35"/>
    </row>
    <row r="2396" spans="1:1" x14ac:dyDescent="0.25">
      <c r="A2396" s="35"/>
    </row>
    <row r="2397" spans="1:1" x14ac:dyDescent="0.25">
      <c r="A2397" s="35"/>
    </row>
    <row r="2398" spans="1:1" x14ac:dyDescent="0.25">
      <c r="A2398" s="35"/>
    </row>
    <row r="2399" spans="1:1" x14ac:dyDescent="0.25">
      <c r="A2399" s="35"/>
    </row>
    <row r="2400" spans="1:1" x14ac:dyDescent="0.25">
      <c r="A2400" s="35"/>
    </row>
    <row r="2401" spans="1:1" x14ac:dyDescent="0.25">
      <c r="A2401" s="35"/>
    </row>
    <row r="2402" spans="1:1" x14ac:dyDescent="0.25">
      <c r="A2402" s="35"/>
    </row>
    <row r="2403" spans="1:1" x14ac:dyDescent="0.25">
      <c r="A2403" s="35"/>
    </row>
    <row r="2404" spans="1:1" x14ac:dyDescent="0.25">
      <c r="A2404" s="35"/>
    </row>
    <row r="2405" spans="1:1" x14ac:dyDescent="0.25">
      <c r="A2405" s="35"/>
    </row>
    <row r="2406" spans="1:1" x14ac:dyDescent="0.25">
      <c r="A2406" s="35"/>
    </row>
    <row r="2407" spans="1:1" x14ac:dyDescent="0.25">
      <c r="A2407" s="35"/>
    </row>
    <row r="2408" spans="1:1" x14ac:dyDescent="0.25">
      <c r="A2408" s="35"/>
    </row>
    <row r="2409" spans="1:1" x14ac:dyDescent="0.25">
      <c r="A2409" s="35"/>
    </row>
    <row r="2410" spans="1:1" x14ac:dyDescent="0.25">
      <c r="A2410" s="35"/>
    </row>
    <row r="2411" spans="1:1" x14ac:dyDescent="0.25">
      <c r="A2411" s="35"/>
    </row>
    <row r="2412" spans="1:1" x14ac:dyDescent="0.25">
      <c r="A2412" s="35"/>
    </row>
    <row r="2413" spans="1:1" x14ac:dyDescent="0.25">
      <c r="A2413" s="35"/>
    </row>
    <row r="2414" spans="1:1" x14ac:dyDescent="0.25">
      <c r="A2414" s="35"/>
    </row>
    <row r="2415" spans="1:1" x14ac:dyDescent="0.25">
      <c r="A2415" s="35"/>
    </row>
    <row r="2416" spans="1:1" x14ac:dyDescent="0.25">
      <c r="A2416" s="35"/>
    </row>
    <row r="2417" spans="1:1" x14ac:dyDescent="0.25">
      <c r="A2417" s="35"/>
    </row>
    <row r="2418" spans="1:1" x14ac:dyDescent="0.25">
      <c r="A2418" s="35"/>
    </row>
    <row r="2419" spans="1:1" x14ac:dyDescent="0.25">
      <c r="A2419" s="35"/>
    </row>
    <row r="2420" spans="1:1" x14ac:dyDescent="0.25">
      <c r="A2420" s="35"/>
    </row>
    <row r="2421" spans="1:1" x14ac:dyDescent="0.25">
      <c r="A2421" s="35"/>
    </row>
    <row r="2422" spans="1:1" x14ac:dyDescent="0.25">
      <c r="A2422" s="35"/>
    </row>
    <row r="2423" spans="1:1" x14ac:dyDescent="0.25">
      <c r="A2423" s="35"/>
    </row>
    <row r="2424" spans="1:1" x14ac:dyDescent="0.25">
      <c r="A2424" s="35"/>
    </row>
    <row r="2425" spans="1:1" x14ac:dyDescent="0.25">
      <c r="A2425" s="35"/>
    </row>
    <row r="2426" spans="1:1" x14ac:dyDescent="0.25">
      <c r="A2426" s="35"/>
    </row>
    <row r="2427" spans="1:1" x14ac:dyDescent="0.25">
      <c r="A2427" s="35"/>
    </row>
    <row r="2428" spans="1:1" x14ac:dyDescent="0.25">
      <c r="A2428" s="35"/>
    </row>
    <row r="2429" spans="1:1" x14ac:dyDescent="0.25">
      <c r="A2429" s="35"/>
    </row>
    <row r="2430" spans="1:1" x14ac:dyDescent="0.25">
      <c r="A2430" s="35"/>
    </row>
    <row r="2431" spans="1:1" x14ac:dyDescent="0.25">
      <c r="A2431" s="35"/>
    </row>
    <row r="2432" spans="1:1" x14ac:dyDescent="0.25">
      <c r="A2432" s="35"/>
    </row>
    <row r="2433" spans="1:1" x14ac:dyDescent="0.25">
      <c r="A2433" s="35"/>
    </row>
    <row r="2434" spans="1:1" x14ac:dyDescent="0.25">
      <c r="A2434" s="35"/>
    </row>
    <row r="2435" spans="1:1" x14ac:dyDescent="0.25">
      <c r="A2435" s="35"/>
    </row>
    <row r="2436" spans="1:1" x14ac:dyDescent="0.25">
      <c r="A2436" s="35"/>
    </row>
    <row r="2437" spans="1:1" x14ac:dyDescent="0.25">
      <c r="A2437" s="35"/>
    </row>
    <row r="2438" spans="1:1" x14ac:dyDescent="0.25">
      <c r="A2438" s="35"/>
    </row>
    <row r="2439" spans="1:1" x14ac:dyDescent="0.25">
      <c r="A2439" s="35"/>
    </row>
    <row r="2440" spans="1:1" x14ac:dyDescent="0.25">
      <c r="A2440" s="35"/>
    </row>
    <row r="2441" spans="1:1" x14ac:dyDescent="0.25">
      <c r="A2441" s="35"/>
    </row>
    <row r="2442" spans="1:1" x14ac:dyDescent="0.25">
      <c r="A2442" s="35"/>
    </row>
    <row r="2443" spans="1:1" x14ac:dyDescent="0.25">
      <c r="A2443" s="35"/>
    </row>
    <row r="2444" spans="1:1" x14ac:dyDescent="0.25">
      <c r="A2444" s="35"/>
    </row>
    <row r="2445" spans="1:1" x14ac:dyDescent="0.25">
      <c r="A2445" s="35"/>
    </row>
    <row r="2446" spans="1:1" x14ac:dyDescent="0.25">
      <c r="A2446" s="35"/>
    </row>
    <row r="2447" spans="1:1" x14ac:dyDescent="0.25">
      <c r="A2447" s="35"/>
    </row>
    <row r="2448" spans="1:1" x14ac:dyDescent="0.25">
      <c r="A2448" s="35"/>
    </row>
    <row r="2449" spans="1:1" x14ac:dyDescent="0.25">
      <c r="A2449" s="35"/>
    </row>
    <row r="2450" spans="1:1" x14ac:dyDescent="0.25">
      <c r="A2450" s="35"/>
    </row>
    <row r="2451" spans="1:1" x14ac:dyDescent="0.25">
      <c r="A2451" s="35"/>
    </row>
    <row r="2452" spans="1:1" x14ac:dyDescent="0.25">
      <c r="A2452" s="35"/>
    </row>
    <row r="2453" spans="1:1" x14ac:dyDescent="0.25">
      <c r="A2453" s="35"/>
    </row>
    <row r="2454" spans="1:1" x14ac:dyDescent="0.25">
      <c r="A2454" s="35"/>
    </row>
    <row r="2455" spans="1:1" x14ac:dyDescent="0.25">
      <c r="A2455" s="35"/>
    </row>
    <row r="2456" spans="1:1" x14ac:dyDescent="0.25">
      <c r="A2456" s="35"/>
    </row>
    <row r="2457" spans="1:1" x14ac:dyDescent="0.25">
      <c r="A2457" s="35"/>
    </row>
    <row r="2458" spans="1:1" x14ac:dyDescent="0.25">
      <c r="A2458" s="35"/>
    </row>
    <row r="2459" spans="1:1" x14ac:dyDescent="0.25">
      <c r="A2459" s="35"/>
    </row>
    <row r="2460" spans="1:1" x14ac:dyDescent="0.25">
      <c r="A2460" s="35"/>
    </row>
    <row r="2461" spans="1:1" x14ac:dyDescent="0.25">
      <c r="A2461" s="35"/>
    </row>
    <row r="2462" spans="1:1" x14ac:dyDescent="0.25">
      <c r="A2462" s="35"/>
    </row>
    <row r="2463" spans="1:1" x14ac:dyDescent="0.25">
      <c r="A2463" s="35"/>
    </row>
    <row r="2464" spans="1:1" x14ac:dyDescent="0.25">
      <c r="A2464" s="35"/>
    </row>
    <row r="2465" spans="1:1" x14ac:dyDescent="0.25">
      <c r="A2465" s="35"/>
    </row>
    <row r="2466" spans="1:1" x14ac:dyDescent="0.25">
      <c r="A2466" s="35"/>
    </row>
    <row r="2467" spans="1:1" x14ac:dyDescent="0.25">
      <c r="A2467" s="35"/>
    </row>
    <row r="2468" spans="1:1" x14ac:dyDescent="0.25">
      <c r="A2468" s="35"/>
    </row>
    <row r="2469" spans="1:1" x14ac:dyDescent="0.25">
      <c r="A2469" s="35"/>
    </row>
    <row r="2470" spans="1:1" x14ac:dyDescent="0.25">
      <c r="A2470" s="35"/>
    </row>
    <row r="2471" spans="1:1" x14ac:dyDescent="0.25">
      <c r="A2471" s="35"/>
    </row>
    <row r="2472" spans="1:1" x14ac:dyDescent="0.25">
      <c r="A2472" s="35"/>
    </row>
    <row r="2473" spans="1:1" x14ac:dyDescent="0.25">
      <c r="A2473" s="35"/>
    </row>
    <row r="2474" spans="1:1" x14ac:dyDescent="0.25">
      <c r="A2474" s="35"/>
    </row>
    <row r="2475" spans="1:1" x14ac:dyDescent="0.25">
      <c r="A2475" s="35"/>
    </row>
    <row r="2476" spans="1:1" x14ac:dyDescent="0.25">
      <c r="A2476" s="35"/>
    </row>
    <row r="2477" spans="1:1" x14ac:dyDescent="0.25">
      <c r="A2477" s="35"/>
    </row>
    <row r="2478" spans="1:1" x14ac:dyDescent="0.25">
      <c r="A2478" s="35"/>
    </row>
    <row r="2479" spans="1:1" x14ac:dyDescent="0.25">
      <c r="A2479" s="35"/>
    </row>
    <row r="2480" spans="1:1" x14ac:dyDescent="0.25">
      <c r="A2480" s="35"/>
    </row>
    <row r="2481" spans="1:1" x14ac:dyDescent="0.25">
      <c r="A2481" s="35"/>
    </row>
    <row r="2482" spans="1:1" x14ac:dyDescent="0.25">
      <c r="A2482" s="35"/>
    </row>
    <row r="2483" spans="1:1" x14ac:dyDescent="0.25">
      <c r="A2483" s="35"/>
    </row>
    <row r="2484" spans="1:1" x14ac:dyDescent="0.25">
      <c r="A2484" s="35"/>
    </row>
    <row r="2485" spans="1:1" x14ac:dyDescent="0.25">
      <c r="A2485" s="35"/>
    </row>
    <row r="2486" spans="1:1" x14ac:dyDescent="0.25">
      <c r="A2486" s="35"/>
    </row>
    <row r="2487" spans="1:1" x14ac:dyDescent="0.25">
      <c r="A2487" s="35"/>
    </row>
    <row r="2488" spans="1:1" x14ac:dyDescent="0.25">
      <c r="A2488" s="35"/>
    </row>
    <row r="2489" spans="1:1" x14ac:dyDescent="0.25">
      <c r="A2489" s="35"/>
    </row>
    <row r="2490" spans="1:1" x14ac:dyDescent="0.25">
      <c r="A2490" s="35"/>
    </row>
    <row r="2491" spans="1:1" x14ac:dyDescent="0.25">
      <c r="A2491" s="35"/>
    </row>
    <row r="2492" spans="1:1" x14ac:dyDescent="0.25">
      <c r="A2492" s="35"/>
    </row>
    <row r="2493" spans="1:1" x14ac:dyDescent="0.25">
      <c r="A2493" s="35"/>
    </row>
    <row r="2494" spans="1:1" x14ac:dyDescent="0.25">
      <c r="A2494" s="35"/>
    </row>
    <row r="2495" spans="1:1" x14ac:dyDescent="0.25">
      <c r="A2495" s="35"/>
    </row>
    <row r="2496" spans="1:1" x14ac:dyDescent="0.25">
      <c r="A2496" s="35"/>
    </row>
    <row r="2497" spans="1:1" x14ac:dyDescent="0.25">
      <c r="A2497" s="35"/>
    </row>
    <row r="2498" spans="1:1" x14ac:dyDescent="0.25">
      <c r="A2498" s="35"/>
    </row>
    <row r="2499" spans="1:1" x14ac:dyDescent="0.25">
      <c r="A2499" s="35"/>
    </row>
    <row r="2500" spans="1:1" x14ac:dyDescent="0.25">
      <c r="A2500" s="35"/>
    </row>
    <row r="2501" spans="1:1" x14ac:dyDescent="0.25">
      <c r="A2501" s="35"/>
    </row>
    <row r="2502" spans="1:1" x14ac:dyDescent="0.25">
      <c r="A2502" s="35"/>
    </row>
    <row r="2503" spans="1:1" x14ac:dyDescent="0.25">
      <c r="A2503" s="35"/>
    </row>
    <row r="2504" spans="1:1" x14ac:dyDescent="0.25">
      <c r="A2504" s="35"/>
    </row>
    <row r="2505" spans="1:1" x14ac:dyDescent="0.25">
      <c r="A2505" s="35"/>
    </row>
    <row r="2506" spans="1:1" x14ac:dyDescent="0.25">
      <c r="A2506" s="35"/>
    </row>
    <row r="2507" spans="1:1" x14ac:dyDescent="0.25">
      <c r="A2507" s="35"/>
    </row>
    <row r="2508" spans="1:1" x14ac:dyDescent="0.25">
      <c r="A2508" s="35"/>
    </row>
    <row r="2509" spans="1:1" x14ac:dyDescent="0.25">
      <c r="A2509" s="35"/>
    </row>
    <row r="2510" spans="1:1" x14ac:dyDescent="0.25">
      <c r="A2510" s="35"/>
    </row>
    <row r="2511" spans="1:1" x14ac:dyDescent="0.25">
      <c r="A2511" s="35"/>
    </row>
    <row r="2512" spans="1:1" x14ac:dyDescent="0.25">
      <c r="A2512" s="35"/>
    </row>
    <row r="2513" spans="1:1" x14ac:dyDescent="0.25">
      <c r="A2513" s="35"/>
    </row>
    <row r="2514" spans="1:1" x14ac:dyDescent="0.25">
      <c r="A2514" s="35"/>
    </row>
    <row r="2515" spans="1:1" x14ac:dyDescent="0.25">
      <c r="A2515" s="35"/>
    </row>
    <row r="2516" spans="1:1" x14ac:dyDescent="0.25">
      <c r="A2516" s="35"/>
    </row>
    <row r="2517" spans="1:1" x14ac:dyDescent="0.25">
      <c r="A2517" s="35"/>
    </row>
    <row r="2518" spans="1:1" x14ac:dyDescent="0.25">
      <c r="A2518" s="35"/>
    </row>
    <row r="2519" spans="1:1" x14ac:dyDescent="0.25">
      <c r="A2519" s="35"/>
    </row>
    <row r="2520" spans="1:1" x14ac:dyDescent="0.25">
      <c r="A2520" s="35"/>
    </row>
    <row r="2521" spans="1:1" x14ac:dyDescent="0.25">
      <c r="A2521" s="3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/>
  <dimension ref="A1:I53"/>
  <sheetViews>
    <sheetView zoomScale="190" zoomScaleNormal="190" workbookViewId="0">
      <selection activeCell="B59" sqref="B59"/>
    </sheetView>
  </sheetViews>
  <sheetFormatPr defaultColWidth="8.85546875" defaultRowHeight="15" x14ac:dyDescent="0.25"/>
  <cols>
    <col min="1" max="1" width="13.5703125" style="33" customWidth="1"/>
    <col min="2" max="2" width="7.28515625" style="33" customWidth="1"/>
    <col min="3" max="3" width="22" style="33" bestFit="1" customWidth="1"/>
    <col min="4" max="5" width="7.85546875" style="33" customWidth="1"/>
    <col min="6" max="6" width="13.140625" style="33" customWidth="1"/>
    <col min="7" max="7" width="10.28515625" style="34" bestFit="1" customWidth="1"/>
    <col min="8" max="8" width="9.85546875" style="34" bestFit="1" customWidth="1"/>
    <col min="9" max="9" width="12" style="33" bestFit="1" customWidth="1"/>
    <col min="10" max="16384" width="8.85546875" style="33"/>
  </cols>
  <sheetData>
    <row r="1" spans="1:9" ht="35.25" x14ac:dyDescent="0.5">
      <c r="A1" s="31" t="s">
        <v>129</v>
      </c>
      <c r="B1" s="31"/>
      <c r="F1" s="33">
        <f>SUM(F4:F500)</f>
        <v>0</v>
      </c>
      <c r="G1" s="34">
        <f>SUM(G4:G1048576)</f>
        <v>0</v>
      </c>
      <c r="H1" s="34">
        <f>F1-G1</f>
        <v>0</v>
      </c>
      <c r="I1" s="33">
        <v>15</v>
      </c>
    </row>
    <row r="3" spans="1:9" x14ac:dyDescent="0.25">
      <c r="A3" s="33" t="s">
        <v>21</v>
      </c>
      <c r="B3" s="33" t="s">
        <v>38</v>
      </c>
      <c r="C3" s="33" t="s">
        <v>43</v>
      </c>
      <c r="D3" s="33" t="s">
        <v>3</v>
      </c>
      <c r="E3" s="33" t="s">
        <v>194</v>
      </c>
      <c r="F3" s="33" t="s">
        <v>24</v>
      </c>
      <c r="G3" s="34" t="s">
        <v>25</v>
      </c>
      <c r="H3" s="34" t="s">
        <v>6</v>
      </c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  <c r="I9" s="33" t="s">
        <v>197</v>
      </c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ht="14.45" customHeight="1" x14ac:dyDescent="0.25">
      <c r="A13" s="35"/>
      <c r="C13" s="63"/>
    </row>
    <row r="14" spans="1:9" x14ac:dyDescent="0.25">
      <c r="A14" s="35"/>
    </row>
    <row r="15" spans="1:9" x14ac:dyDescent="0.25">
      <c r="A15" s="35"/>
      <c r="I15" s="33" t="s">
        <v>197</v>
      </c>
    </row>
    <row r="16" spans="1:9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  <c r="I31" s="33" t="s">
        <v>197</v>
      </c>
    </row>
    <row r="32" spans="1:9" x14ac:dyDescent="0.25">
      <c r="A32" s="35"/>
    </row>
    <row r="33" spans="1:6" x14ac:dyDescent="0.25">
      <c r="A33" s="35"/>
    </row>
    <row r="34" spans="1:6" x14ac:dyDescent="0.25">
      <c r="A34" s="35"/>
    </row>
    <row r="35" spans="1:6" x14ac:dyDescent="0.25">
      <c r="A35" s="35"/>
    </row>
    <row r="36" spans="1:6" x14ac:dyDescent="0.25">
      <c r="A36" s="35"/>
    </row>
    <row r="37" spans="1:6" x14ac:dyDescent="0.25">
      <c r="A37" s="35"/>
    </row>
    <row r="38" spans="1:6" x14ac:dyDescent="0.25">
      <c r="A38" s="35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4"/>
  <dimension ref="A1:G97"/>
  <sheetViews>
    <sheetView workbookViewId="0">
      <selection activeCell="A33" sqref="A33"/>
    </sheetView>
  </sheetViews>
  <sheetFormatPr defaultRowHeight="15" x14ac:dyDescent="0.25"/>
  <cols>
    <col min="1" max="1" width="11.28515625" customWidth="1"/>
    <col min="2" max="2" width="8.7109375" customWidth="1"/>
    <col min="3" max="3" width="20.140625" customWidth="1"/>
    <col min="4" max="4" width="13.5703125" customWidth="1"/>
    <col min="5" max="5" width="14.28515625" customWidth="1"/>
    <col min="6" max="6" width="14.5703125" customWidth="1"/>
    <col min="7" max="7" width="13.7109375" customWidth="1"/>
    <col min="8" max="8" width="12" bestFit="1" customWidth="1"/>
  </cols>
  <sheetData>
    <row r="1" spans="1:7" ht="26.25" x14ac:dyDescent="0.4">
      <c r="A1" s="14" t="s">
        <v>175</v>
      </c>
      <c r="B1" s="14"/>
      <c r="C1" s="14"/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21</v>
      </c>
      <c r="B3" s="8" t="s">
        <v>22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5" spans="1:7" x14ac:dyDescent="0.25">
      <c r="A5" s="5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  <row r="12" spans="1:7" x14ac:dyDescent="0.25">
      <c r="A12" s="5"/>
    </row>
    <row r="13" spans="1:7" x14ac:dyDescent="0.25">
      <c r="A13" s="5"/>
    </row>
    <row r="14" spans="1:7" x14ac:dyDescent="0.25">
      <c r="A14" s="5"/>
    </row>
    <row r="15" spans="1:7" x14ac:dyDescent="0.25">
      <c r="A15" s="5"/>
    </row>
    <row r="16" spans="1:7" x14ac:dyDescent="0.25">
      <c r="A16" s="5"/>
    </row>
    <row r="17" spans="1:4" x14ac:dyDescent="0.25">
      <c r="A17" s="5"/>
    </row>
    <row r="18" spans="1:4" x14ac:dyDescent="0.25">
      <c r="A18" s="5"/>
    </row>
    <row r="19" spans="1:4" ht="18.75" customHeight="1" x14ac:dyDescent="0.25">
      <c r="A19" s="5"/>
    </row>
    <row r="20" spans="1:4" ht="18.600000000000001" customHeight="1" x14ac:dyDescent="0.25">
      <c r="A20" s="5"/>
      <c r="D20" s="33"/>
    </row>
    <row r="21" spans="1:4" ht="16.5" customHeight="1" x14ac:dyDescent="0.25">
      <c r="A21" s="5"/>
    </row>
    <row r="22" spans="1:4" ht="18" customHeight="1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3" x14ac:dyDescent="0.25">
      <c r="A33" s="35"/>
    </row>
    <row r="34" spans="1:3" x14ac:dyDescent="0.25">
      <c r="A34" s="5"/>
    </row>
    <row r="35" spans="1:3" x14ac:dyDescent="0.25">
      <c r="A35" s="5"/>
    </row>
    <row r="36" spans="1:3" x14ac:dyDescent="0.25">
      <c r="A36" s="5"/>
    </row>
    <row r="37" spans="1:3" x14ac:dyDescent="0.25">
      <c r="A37" s="5"/>
    </row>
    <row r="38" spans="1:3" x14ac:dyDescent="0.25">
      <c r="A38" s="5"/>
    </row>
    <row r="39" spans="1:3" x14ac:dyDescent="0.25">
      <c r="A39" s="5"/>
    </row>
    <row r="40" spans="1:3" x14ac:dyDescent="0.25">
      <c r="A40" s="5"/>
    </row>
    <row r="41" spans="1:3" x14ac:dyDescent="0.25">
      <c r="A41" s="5"/>
    </row>
    <row r="42" spans="1:3" x14ac:dyDescent="0.25">
      <c r="A42" s="5"/>
    </row>
    <row r="43" spans="1:3" x14ac:dyDescent="0.25">
      <c r="A43" s="5"/>
    </row>
    <row r="44" spans="1:3" x14ac:dyDescent="0.25">
      <c r="A44" s="5"/>
    </row>
    <row r="45" spans="1:3" x14ac:dyDescent="0.25">
      <c r="A45" s="5"/>
    </row>
    <row r="46" spans="1:3" x14ac:dyDescent="0.25">
      <c r="A46" s="5"/>
    </row>
    <row r="47" spans="1:3" ht="18.75" x14ac:dyDescent="0.3">
      <c r="A47" s="5"/>
      <c r="C47" s="4"/>
    </row>
    <row r="48" spans="1:3" x14ac:dyDescent="0.25">
      <c r="A48" s="5"/>
    </row>
    <row r="49" spans="1:3" x14ac:dyDescent="0.25">
      <c r="A49" s="5"/>
    </row>
    <row r="50" spans="1:3" x14ac:dyDescent="0.25">
      <c r="A50" s="5"/>
    </row>
    <row r="51" spans="1:3" x14ac:dyDescent="0.25">
      <c r="A51" s="5"/>
    </row>
    <row r="52" spans="1:3" x14ac:dyDescent="0.25">
      <c r="A52" s="5"/>
    </row>
    <row r="53" spans="1:3" x14ac:dyDescent="0.25">
      <c r="A53" s="5"/>
    </row>
    <row r="54" spans="1:3" x14ac:dyDescent="0.25">
      <c r="A54" s="5"/>
    </row>
    <row r="55" spans="1:3" x14ac:dyDescent="0.25">
      <c r="A55" s="5"/>
    </row>
    <row r="56" spans="1:3" x14ac:dyDescent="0.25">
      <c r="A56" s="5"/>
    </row>
    <row r="57" spans="1:3" x14ac:dyDescent="0.25">
      <c r="A57" s="5"/>
    </row>
    <row r="58" spans="1:3" x14ac:dyDescent="0.25">
      <c r="A58" s="5"/>
    </row>
    <row r="59" spans="1:3" x14ac:dyDescent="0.25">
      <c r="A59" s="5"/>
    </row>
    <row r="60" spans="1:3" x14ac:dyDescent="0.25">
      <c r="A60" s="5"/>
    </row>
    <row r="61" spans="1:3" x14ac:dyDescent="0.25">
      <c r="A61" s="5"/>
    </row>
    <row r="62" spans="1:3" x14ac:dyDescent="0.25">
      <c r="A62" s="5"/>
      <c r="C62" s="3"/>
    </row>
    <row r="63" spans="1:3" x14ac:dyDescent="0.25">
      <c r="A63" s="5"/>
    </row>
    <row r="64" spans="1:3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2"/>
  <dimension ref="A1:I8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85546875" style="33" customWidth="1"/>
    <col min="2" max="2" width="8.28515625" style="33" customWidth="1"/>
    <col min="3" max="3" width="17.140625" style="33" customWidth="1"/>
    <col min="4" max="5" width="8.28515625" style="33" customWidth="1"/>
    <col min="6" max="6" width="11.140625" style="33" customWidth="1"/>
    <col min="7" max="7" width="8.85546875" style="34" customWidth="1"/>
    <col min="8" max="8" width="10.7109375" style="34" customWidth="1"/>
    <col min="9" max="9" width="13.140625" style="33" bestFit="1" customWidth="1"/>
    <col min="10" max="10" width="14.140625" style="33" customWidth="1"/>
    <col min="11" max="16384" width="8.85546875" style="33"/>
  </cols>
  <sheetData>
    <row r="1" spans="1:9" ht="35.25" x14ac:dyDescent="0.5">
      <c r="A1" s="31" t="s">
        <v>99</v>
      </c>
      <c r="B1" s="33">
        <v>31</v>
      </c>
      <c r="D1" s="31"/>
      <c r="E1" s="31"/>
      <c r="F1" s="33">
        <f>SUM(F4:F1048576)</f>
        <v>0</v>
      </c>
      <c r="G1" s="34">
        <f>SUM(G4:G1048576)</f>
        <v>0</v>
      </c>
      <c r="H1" s="34">
        <f>F1-G1</f>
        <v>0</v>
      </c>
      <c r="I1" s="33">
        <v>40</v>
      </c>
    </row>
    <row r="3" spans="1:9" x14ac:dyDescent="0.25">
      <c r="A3" s="33" t="s">
        <v>21</v>
      </c>
      <c r="B3" s="33" t="s">
        <v>38</v>
      </c>
      <c r="C3" s="33" t="s">
        <v>52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ht="15.75" x14ac:dyDescent="0.25">
      <c r="A9" s="61"/>
    </row>
    <row r="10" spans="1:9" x14ac:dyDescent="0.25">
      <c r="A10" s="35"/>
      <c r="F10" s="34"/>
    </row>
    <row r="11" spans="1:9" x14ac:dyDescent="0.25">
      <c r="A11" s="35"/>
      <c r="F11" s="34"/>
    </row>
    <row r="12" spans="1:9" x14ac:dyDescent="0.25">
      <c r="A12" s="35"/>
      <c r="F12" s="34"/>
    </row>
    <row r="13" spans="1:9" x14ac:dyDescent="0.25">
      <c r="A13" s="35"/>
      <c r="F13" s="34"/>
    </row>
    <row r="14" spans="1:9" x14ac:dyDescent="0.25">
      <c r="A14" s="35"/>
      <c r="F14" s="34"/>
    </row>
    <row r="15" spans="1:9" x14ac:dyDescent="0.25">
      <c r="A15" s="35"/>
      <c r="F15" s="34"/>
    </row>
    <row r="16" spans="1:9" x14ac:dyDescent="0.25">
      <c r="A16" s="35"/>
      <c r="F16" s="34"/>
    </row>
    <row r="17" spans="1:6" x14ac:dyDescent="0.25">
      <c r="A17" s="35"/>
      <c r="F17" s="34"/>
    </row>
    <row r="18" spans="1:6" x14ac:dyDescent="0.25">
      <c r="A18" s="35"/>
      <c r="F18" s="34"/>
    </row>
    <row r="19" spans="1:6" x14ac:dyDescent="0.25">
      <c r="A19" s="35"/>
      <c r="F19" s="34"/>
    </row>
    <row r="20" spans="1:6" x14ac:dyDescent="0.25">
      <c r="A20" s="35"/>
      <c r="F20" s="34"/>
    </row>
    <row r="21" spans="1:6" x14ac:dyDescent="0.25">
      <c r="A21" s="35"/>
      <c r="F21" s="34"/>
    </row>
    <row r="22" spans="1:6" x14ac:dyDescent="0.25">
      <c r="A22" s="35"/>
    </row>
    <row r="23" spans="1:6" x14ac:dyDescent="0.25">
      <c r="A23" s="35"/>
    </row>
    <row r="24" spans="1:6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</row>
    <row r="28" spans="1:6" x14ac:dyDescent="0.25">
      <c r="A28" s="35"/>
    </row>
    <row r="29" spans="1:6" x14ac:dyDescent="0.25">
      <c r="A29" s="35"/>
    </row>
    <row r="30" spans="1:6" x14ac:dyDescent="0.25">
      <c r="A30" s="35"/>
    </row>
    <row r="31" spans="1:6" x14ac:dyDescent="0.25">
      <c r="A31" s="35"/>
    </row>
    <row r="32" spans="1:6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312" spans="2:2" x14ac:dyDescent="0.25">
      <c r="B312" s="70"/>
    </row>
    <row r="357" spans="3:3" ht="18.75" x14ac:dyDescent="0.3">
      <c r="C357" s="41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" x14ac:dyDescent="0.25">
      <c r="A385" s="35"/>
    </row>
    <row r="386" spans="1:1" x14ac:dyDescent="0.25">
      <c r="A386" s="35"/>
    </row>
    <row r="387" spans="1:1" x14ac:dyDescent="0.25">
      <c r="A387" s="35"/>
    </row>
    <row r="388" spans="1:1" x14ac:dyDescent="0.25">
      <c r="A388" s="35"/>
    </row>
    <row r="389" spans="1:1" x14ac:dyDescent="0.25">
      <c r="A389" s="35"/>
    </row>
    <row r="390" spans="1:1" x14ac:dyDescent="0.25">
      <c r="A390" s="35"/>
    </row>
    <row r="391" spans="1:1" x14ac:dyDescent="0.25">
      <c r="A391" s="35"/>
    </row>
    <row r="392" spans="1:1" x14ac:dyDescent="0.25">
      <c r="A392" s="35"/>
    </row>
    <row r="393" spans="1:1" x14ac:dyDescent="0.25">
      <c r="A393" s="35"/>
    </row>
    <row r="394" spans="1:1" x14ac:dyDescent="0.25">
      <c r="A394" s="35"/>
    </row>
    <row r="395" spans="1:1" x14ac:dyDescent="0.25">
      <c r="A395" s="35"/>
    </row>
    <row r="396" spans="1:1" x14ac:dyDescent="0.25">
      <c r="A396" s="35"/>
    </row>
    <row r="397" spans="1:1" x14ac:dyDescent="0.25">
      <c r="A397" s="35"/>
    </row>
    <row r="398" spans="1:1" x14ac:dyDescent="0.25">
      <c r="A398" s="35"/>
    </row>
    <row r="399" spans="1:1" x14ac:dyDescent="0.25">
      <c r="A399" s="35"/>
    </row>
    <row r="400" spans="1:1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  <row r="593" spans="1:1" x14ac:dyDescent="0.25">
      <c r="A593" s="35"/>
    </row>
    <row r="594" spans="1:1" x14ac:dyDescent="0.25">
      <c r="A594" s="35"/>
    </row>
    <row r="595" spans="1:1" x14ac:dyDescent="0.25">
      <c r="A595" s="35"/>
    </row>
    <row r="596" spans="1:1" x14ac:dyDescent="0.25">
      <c r="A596" s="35"/>
    </row>
    <row r="597" spans="1:1" x14ac:dyDescent="0.25">
      <c r="A597" s="35"/>
    </row>
    <row r="598" spans="1:1" x14ac:dyDescent="0.25">
      <c r="A598" s="35"/>
    </row>
    <row r="599" spans="1:1" x14ac:dyDescent="0.25">
      <c r="A599" s="35"/>
    </row>
    <row r="600" spans="1:1" x14ac:dyDescent="0.25">
      <c r="A600" s="35"/>
    </row>
    <row r="601" spans="1:1" x14ac:dyDescent="0.25">
      <c r="A601" s="35"/>
    </row>
    <row r="602" spans="1:1" x14ac:dyDescent="0.25">
      <c r="A602" s="35"/>
    </row>
    <row r="603" spans="1:1" x14ac:dyDescent="0.25">
      <c r="A603" s="35"/>
    </row>
    <row r="604" spans="1:1" x14ac:dyDescent="0.25">
      <c r="A604" s="35"/>
    </row>
    <row r="605" spans="1:1" x14ac:dyDescent="0.25">
      <c r="A605" s="35"/>
    </row>
    <row r="606" spans="1:1" x14ac:dyDescent="0.25">
      <c r="A606" s="35"/>
    </row>
    <row r="607" spans="1:1" x14ac:dyDescent="0.25">
      <c r="A607" s="35"/>
    </row>
    <row r="608" spans="1:1" x14ac:dyDescent="0.25">
      <c r="A608" s="35"/>
    </row>
    <row r="609" spans="1:1" x14ac:dyDescent="0.25">
      <c r="A609" s="35"/>
    </row>
    <row r="610" spans="1:1" x14ac:dyDescent="0.25">
      <c r="A610" s="35"/>
    </row>
    <row r="611" spans="1:1" x14ac:dyDescent="0.25">
      <c r="A611" s="35"/>
    </row>
    <row r="612" spans="1:1" x14ac:dyDescent="0.25">
      <c r="A612" s="35"/>
    </row>
    <row r="613" spans="1:1" x14ac:dyDescent="0.25">
      <c r="A613" s="35"/>
    </row>
    <row r="614" spans="1:1" x14ac:dyDescent="0.25">
      <c r="A614" s="35"/>
    </row>
    <row r="615" spans="1:1" x14ac:dyDescent="0.25">
      <c r="A615" s="35"/>
    </row>
    <row r="616" spans="1:1" x14ac:dyDescent="0.25">
      <c r="A616" s="35"/>
    </row>
    <row r="617" spans="1:1" x14ac:dyDescent="0.25">
      <c r="A617" s="35"/>
    </row>
    <row r="618" spans="1:1" x14ac:dyDescent="0.25">
      <c r="A618" s="35"/>
    </row>
    <row r="619" spans="1:1" x14ac:dyDescent="0.25">
      <c r="A619" s="35"/>
    </row>
    <row r="620" spans="1:1" x14ac:dyDescent="0.25">
      <c r="A620" s="35"/>
    </row>
    <row r="621" spans="1:1" x14ac:dyDescent="0.25">
      <c r="A621" s="35"/>
    </row>
    <row r="622" spans="1:1" x14ac:dyDescent="0.25">
      <c r="A622" s="35"/>
    </row>
    <row r="623" spans="1:1" x14ac:dyDescent="0.25">
      <c r="A623" s="35"/>
    </row>
    <row r="624" spans="1:1" x14ac:dyDescent="0.25">
      <c r="A624" s="35"/>
    </row>
    <row r="625" spans="1:1" x14ac:dyDescent="0.25">
      <c r="A625" s="35"/>
    </row>
    <row r="626" spans="1:1" x14ac:dyDescent="0.25">
      <c r="A626" s="35"/>
    </row>
    <row r="627" spans="1:1" x14ac:dyDescent="0.25">
      <c r="A627" s="35"/>
    </row>
    <row r="628" spans="1:1" x14ac:dyDescent="0.25">
      <c r="A628" s="35"/>
    </row>
    <row r="629" spans="1:1" x14ac:dyDescent="0.25">
      <c r="A629" s="35"/>
    </row>
    <row r="630" spans="1:1" x14ac:dyDescent="0.25">
      <c r="A630" s="35"/>
    </row>
    <row r="631" spans="1:1" x14ac:dyDescent="0.25">
      <c r="A631" s="35"/>
    </row>
    <row r="632" spans="1:1" x14ac:dyDescent="0.25">
      <c r="A632" s="35"/>
    </row>
    <row r="633" spans="1:1" x14ac:dyDescent="0.25">
      <c r="A633" s="35"/>
    </row>
    <row r="634" spans="1:1" x14ac:dyDescent="0.25">
      <c r="A634" s="35"/>
    </row>
    <row r="635" spans="1:1" x14ac:dyDescent="0.25">
      <c r="A635" s="35"/>
    </row>
    <row r="636" spans="1:1" x14ac:dyDescent="0.25">
      <c r="A636" s="35"/>
    </row>
    <row r="637" spans="1:1" x14ac:dyDescent="0.25">
      <c r="A637" s="35"/>
    </row>
    <row r="638" spans="1:1" x14ac:dyDescent="0.25">
      <c r="A638" s="35"/>
    </row>
    <row r="639" spans="1:1" x14ac:dyDescent="0.25">
      <c r="A639" s="35"/>
    </row>
    <row r="640" spans="1:1" x14ac:dyDescent="0.25">
      <c r="A640" s="35"/>
    </row>
    <row r="641" spans="1:1" x14ac:dyDescent="0.25">
      <c r="A641" s="35"/>
    </row>
    <row r="642" spans="1:1" x14ac:dyDescent="0.25">
      <c r="A642" s="35"/>
    </row>
    <row r="643" spans="1:1" x14ac:dyDescent="0.25">
      <c r="A643" s="35"/>
    </row>
    <row r="644" spans="1:1" x14ac:dyDescent="0.25">
      <c r="A644" s="35"/>
    </row>
    <row r="645" spans="1:1" x14ac:dyDescent="0.25">
      <c r="A645" s="35"/>
    </row>
    <row r="646" spans="1:1" x14ac:dyDescent="0.25">
      <c r="A646" s="35"/>
    </row>
    <row r="647" spans="1:1" x14ac:dyDescent="0.25">
      <c r="A647" s="35"/>
    </row>
    <row r="648" spans="1:1" x14ac:dyDescent="0.25">
      <c r="A648" s="35"/>
    </row>
    <row r="649" spans="1:1" x14ac:dyDescent="0.25">
      <c r="A649" s="35"/>
    </row>
    <row r="650" spans="1:1" x14ac:dyDescent="0.25">
      <c r="A650" s="35"/>
    </row>
    <row r="651" spans="1:1" x14ac:dyDescent="0.25">
      <c r="A651" s="35"/>
    </row>
    <row r="652" spans="1:1" x14ac:dyDescent="0.25">
      <c r="A652" s="35"/>
    </row>
    <row r="653" spans="1:1" x14ac:dyDescent="0.25">
      <c r="A653" s="35"/>
    </row>
    <row r="654" spans="1:1" x14ac:dyDescent="0.25">
      <c r="A654" s="35"/>
    </row>
    <row r="655" spans="1:1" x14ac:dyDescent="0.25">
      <c r="A655" s="35"/>
    </row>
    <row r="656" spans="1:1" x14ac:dyDescent="0.25">
      <c r="A656" s="35"/>
    </row>
    <row r="657" spans="1:1" x14ac:dyDescent="0.25">
      <c r="A657" s="35"/>
    </row>
    <row r="658" spans="1:1" x14ac:dyDescent="0.25">
      <c r="A658" s="35"/>
    </row>
    <row r="659" spans="1:1" x14ac:dyDescent="0.25">
      <c r="A659" s="35"/>
    </row>
    <row r="660" spans="1:1" x14ac:dyDescent="0.25">
      <c r="A660" s="35"/>
    </row>
    <row r="661" spans="1:1" x14ac:dyDescent="0.25">
      <c r="A661" s="35"/>
    </row>
    <row r="662" spans="1:1" x14ac:dyDescent="0.25">
      <c r="A662" s="35"/>
    </row>
    <row r="663" spans="1:1" x14ac:dyDescent="0.25">
      <c r="A663" s="35"/>
    </row>
    <row r="664" spans="1:1" x14ac:dyDescent="0.25">
      <c r="A664" s="35"/>
    </row>
    <row r="665" spans="1:1" x14ac:dyDescent="0.25">
      <c r="A665" s="35"/>
    </row>
    <row r="666" spans="1:1" x14ac:dyDescent="0.25">
      <c r="A666" s="35"/>
    </row>
    <row r="667" spans="1:1" x14ac:dyDescent="0.25">
      <c r="A667" s="35"/>
    </row>
    <row r="668" spans="1:1" x14ac:dyDescent="0.25">
      <c r="A668" s="35"/>
    </row>
    <row r="669" spans="1:1" x14ac:dyDescent="0.25">
      <c r="A669" s="35"/>
    </row>
    <row r="670" spans="1:1" x14ac:dyDescent="0.25">
      <c r="A670" s="35"/>
    </row>
    <row r="671" spans="1:1" x14ac:dyDescent="0.25">
      <c r="A671" s="35"/>
    </row>
    <row r="672" spans="1:1" x14ac:dyDescent="0.25">
      <c r="A672" s="35"/>
    </row>
    <row r="673" spans="1:1" x14ac:dyDescent="0.25">
      <c r="A673" s="35"/>
    </row>
    <row r="674" spans="1:1" x14ac:dyDescent="0.25">
      <c r="A674" s="35"/>
    </row>
    <row r="675" spans="1:1" x14ac:dyDescent="0.25">
      <c r="A675" s="35"/>
    </row>
    <row r="676" spans="1:1" x14ac:dyDescent="0.25">
      <c r="A676" s="35"/>
    </row>
    <row r="677" spans="1:1" x14ac:dyDescent="0.25">
      <c r="A677" s="35"/>
    </row>
    <row r="678" spans="1:1" x14ac:dyDescent="0.25">
      <c r="A678" s="35"/>
    </row>
    <row r="679" spans="1:1" x14ac:dyDescent="0.25">
      <c r="A679" s="35"/>
    </row>
    <row r="680" spans="1:1" x14ac:dyDescent="0.25">
      <c r="A680" s="35"/>
    </row>
    <row r="681" spans="1:1" x14ac:dyDescent="0.25">
      <c r="A681" s="35"/>
    </row>
    <row r="682" spans="1:1" x14ac:dyDescent="0.25">
      <c r="A682" s="35"/>
    </row>
    <row r="683" spans="1:1" x14ac:dyDescent="0.25">
      <c r="A683" s="35"/>
    </row>
    <row r="684" spans="1:1" x14ac:dyDescent="0.25">
      <c r="A684" s="35"/>
    </row>
    <row r="685" spans="1:1" x14ac:dyDescent="0.25">
      <c r="A685" s="35"/>
    </row>
    <row r="686" spans="1:1" x14ac:dyDescent="0.25">
      <c r="A686" s="35"/>
    </row>
    <row r="687" spans="1:1" x14ac:dyDescent="0.25">
      <c r="A687" s="35"/>
    </row>
    <row r="688" spans="1:1" x14ac:dyDescent="0.25">
      <c r="A688" s="35"/>
    </row>
    <row r="689" spans="1:1" x14ac:dyDescent="0.25">
      <c r="A689" s="35"/>
    </row>
    <row r="690" spans="1:1" x14ac:dyDescent="0.25">
      <c r="A690" s="35"/>
    </row>
    <row r="691" spans="1:1" x14ac:dyDescent="0.25">
      <c r="A691" s="35"/>
    </row>
    <row r="692" spans="1:1" x14ac:dyDescent="0.25">
      <c r="A692" s="35"/>
    </row>
    <row r="693" spans="1:1" x14ac:dyDescent="0.25">
      <c r="A693" s="35"/>
    </row>
    <row r="694" spans="1:1" x14ac:dyDescent="0.25">
      <c r="A694" s="35"/>
    </row>
    <row r="695" spans="1:1" x14ac:dyDescent="0.25">
      <c r="A695" s="35"/>
    </row>
    <row r="696" spans="1:1" x14ac:dyDescent="0.25">
      <c r="A696" s="35"/>
    </row>
    <row r="697" spans="1:1" x14ac:dyDescent="0.25">
      <c r="A697" s="35"/>
    </row>
    <row r="698" spans="1:1" x14ac:dyDescent="0.25">
      <c r="A698" s="35"/>
    </row>
    <row r="699" spans="1:1" x14ac:dyDescent="0.25">
      <c r="A699" s="35"/>
    </row>
    <row r="700" spans="1:1" x14ac:dyDescent="0.25">
      <c r="A700" s="35"/>
    </row>
    <row r="701" spans="1:1" x14ac:dyDescent="0.25">
      <c r="A701" s="35"/>
    </row>
    <row r="702" spans="1:1" x14ac:dyDescent="0.25">
      <c r="A702" s="35"/>
    </row>
    <row r="703" spans="1:1" x14ac:dyDescent="0.25">
      <c r="A703" s="35"/>
    </row>
    <row r="704" spans="1:1" x14ac:dyDescent="0.25">
      <c r="A704" s="35"/>
    </row>
    <row r="705" spans="1:1" x14ac:dyDescent="0.25">
      <c r="A705" s="35"/>
    </row>
    <row r="706" spans="1:1" x14ac:dyDescent="0.25">
      <c r="A706" s="35"/>
    </row>
    <row r="707" spans="1:1" x14ac:dyDescent="0.25">
      <c r="A707" s="35"/>
    </row>
    <row r="708" spans="1:1" x14ac:dyDescent="0.25">
      <c r="A708" s="35"/>
    </row>
    <row r="709" spans="1:1" x14ac:dyDescent="0.25">
      <c r="A709" s="35"/>
    </row>
    <row r="710" spans="1:1" x14ac:dyDescent="0.25">
      <c r="A710" s="35"/>
    </row>
    <row r="711" spans="1:1" x14ac:dyDescent="0.25">
      <c r="A711" s="35"/>
    </row>
    <row r="712" spans="1:1" x14ac:dyDescent="0.25">
      <c r="A712" s="35"/>
    </row>
    <row r="713" spans="1:1" x14ac:dyDescent="0.25">
      <c r="A713" s="35"/>
    </row>
    <row r="714" spans="1:1" x14ac:dyDescent="0.25">
      <c r="A714" s="35"/>
    </row>
    <row r="715" spans="1:1" x14ac:dyDescent="0.25">
      <c r="A715" s="35"/>
    </row>
    <row r="716" spans="1:1" x14ac:dyDescent="0.25">
      <c r="A716" s="35"/>
    </row>
    <row r="717" spans="1:1" x14ac:dyDescent="0.25">
      <c r="A717" s="35"/>
    </row>
    <row r="718" spans="1:1" x14ac:dyDescent="0.25">
      <c r="A718" s="35"/>
    </row>
    <row r="719" spans="1:1" x14ac:dyDescent="0.25">
      <c r="A719" s="35"/>
    </row>
    <row r="720" spans="1:1" x14ac:dyDescent="0.25">
      <c r="A720" s="35"/>
    </row>
    <row r="721" spans="1:1" x14ac:dyDescent="0.25">
      <c r="A721" s="35"/>
    </row>
    <row r="722" spans="1:1" x14ac:dyDescent="0.25">
      <c r="A722" s="35"/>
    </row>
    <row r="723" spans="1:1" x14ac:dyDescent="0.25">
      <c r="A723" s="35"/>
    </row>
    <row r="724" spans="1:1" x14ac:dyDescent="0.25">
      <c r="A724" s="35"/>
    </row>
    <row r="725" spans="1:1" x14ac:dyDescent="0.25">
      <c r="A725" s="35"/>
    </row>
    <row r="726" spans="1:1" x14ac:dyDescent="0.25">
      <c r="A726" s="35"/>
    </row>
    <row r="727" spans="1:1" x14ac:dyDescent="0.25">
      <c r="A727" s="35"/>
    </row>
    <row r="728" spans="1:1" x14ac:dyDescent="0.25">
      <c r="A728" s="35"/>
    </row>
    <row r="729" spans="1:1" x14ac:dyDescent="0.25">
      <c r="A729" s="35"/>
    </row>
    <row r="730" spans="1:1" x14ac:dyDescent="0.25">
      <c r="A730" s="35"/>
    </row>
    <row r="731" spans="1:1" x14ac:dyDescent="0.25">
      <c r="A731" s="35"/>
    </row>
    <row r="732" spans="1:1" x14ac:dyDescent="0.25">
      <c r="A732" s="35"/>
    </row>
    <row r="733" spans="1:1" x14ac:dyDescent="0.25">
      <c r="A733" s="35"/>
    </row>
    <row r="734" spans="1:1" x14ac:dyDescent="0.25">
      <c r="A734" s="35"/>
    </row>
    <row r="735" spans="1:1" x14ac:dyDescent="0.25">
      <c r="A735" s="35"/>
    </row>
    <row r="736" spans="1:1" x14ac:dyDescent="0.25">
      <c r="A736" s="35"/>
    </row>
    <row r="737" spans="1:1" x14ac:dyDescent="0.25">
      <c r="A737" s="35"/>
    </row>
    <row r="738" spans="1:1" x14ac:dyDescent="0.25">
      <c r="A738" s="35"/>
    </row>
    <row r="739" spans="1:1" x14ac:dyDescent="0.25">
      <c r="A739" s="35"/>
    </row>
    <row r="740" spans="1:1" x14ac:dyDescent="0.25">
      <c r="A740" s="35"/>
    </row>
    <row r="741" spans="1:1" x14ac:dyDescent="0.25">
      <c r="A741" s="35"/>
    </row>
    <row r="742" spans="1:1" x14ac:dyDescent="0.25">
      <c r="A742" s="35"/>
    </row>
    <row r="743" spans="1:1" x14ac:dyDescent="0.25">
      <c r="A743" s="35"/>
    </row>
    <row r="744" spans="1:1" x14ac:dyDescent="0.25">
      <c r="A744" s="35"/>
    </row>
    <row r="745" spans="1:1" x14ac:dyDescent="0.25">
      <c r="A745" s="35"/>
    </row>
    <row r="746" spans="1:1" x14ac:dyDescent="0.25">
      <c r="A746" s="35"/>
    </row>
    <row r="747" spans="1:1" x14ac:dyDescent="0.25">
      <c r="A747" s="35"/>
    </row>
    <row r="748" spans="1:1" x14ac:dyDescent="0.25">
      <c r="A748" s="35"/>
    </row>
    <row r="749" spans="1:1" x14ac:dyDescent="0.25">
      <c r="A749" s="35"/>
    </row>
    <row r="750" spans="1:1" x14ac:dyDescent="0.25">
      <c r="A750" s="35"/>
    </row>
    <row r="751" spans="1:1" x14ac:dyDescent="0.25">
      <c r="A751" s="35"/>
    </row>
    <row r="752" spans="1:1" x14ac:dyDescent="0.25">
      <c r="A752" s="35"/>
    </row>
    <row r="753" spans="1:1" x14ac:dyDescent="0.25">
      <c r="A753" s="35"/>
    </row>
    <row r="754" spans="1:1" x14ac:dyDescent="0.25">
      <c r="A754" s="35"/>
    </row>
    <row r="755" spans="1:1" x14ac:dyDescent="0.25">
      <c r="A755" s="35"/>
    </row>
    <row r="756" spans="1:1" x14ac:dyDescent="0.25">
      <c r="A756" s="35"/>
    </row>
    <row r="757" spans="1:1" x14ac:dyDescent="0.25">
      <c r="A757" s="35"/>
    </row>
    <row r="758" spans="1:1" x14ac:dyDescent="0.25">
      <c r="A758" s="35"/>
    </row>
    <row r="759" spans="1:1" x14ac:dyDescent="0.25">
      <c r="A759" s="35"/>
    </row>
    <row r="760" spans="1:1" x14ac:dyDescent="0.25">
      <c r="A760" s="35"/>
    </row>
    <row r="761" spans="1:1" x14ac:dyDescent="0.25">
      <c r="A761" s="35"/>
    </row>
    <row r="762" spans="1:1" x14ac:dyDescent="0.25">
      <c r="A762" s="35"/>
    </row>
    <row r="763" spans="1:1" x14ac:dyDescent="0.25">
      <c r="A763" s="35"/>
    </row>
    <row r="764" spans="1:1" x14ac:dyDescent="0.25">
      <c r="A764" s="35"/>
    </row>
    <row r="765" spans="1:1" x14ac:dyDescent="0.25">
      <c r="A765" s="35"/>
    </row>
    <row r="766" spans="1:1" x14ac:dyDescent="0.25">
      <c r="A766" s="35"/>
    </row>
    <row r="767" spans="1:1" x14ac:dyDescent="0.25">
      <c r="A767" s="35"/>
    </row>
    <row r="768" spans="1:1" x14ac:dyDescent="0.25">
      <c r="A768" s="35"/>
    </row>
    <row r="769" spans="1:1" x14ac:dyDescent="0.25">
      <c r="A769" s="35"/>
    </row>
    <row r="770" spans="1:1" x14ac:dyDescent="0.25">
      <c r="A770" s="35"/>
    </row>
    <row r="771" spans="1:1" x14ac:dyDescent="0.25">
      <c r="A771" s="35"/>
    </row>
    <row r="772" spans="1:1" x14ac:dyDescent="0.25">
      <c r="A772" s="35"/>
    </row>
    <row r="773" spans="1:1" x14ac:dyDescent="0.25">
      <c r="A773" s="35"/>
    </row>
    <row r="774" spans="1:1" x14ac:dyDescent="0.25">
      <c r="A774" s="35"/>
    </row>
    <row r="775" spans="1:1" x14ac:dyDescent="0.25">
      <c r="A775" s="35"/>
    </row>
    <row r="776" spans="1:1" x14ac:dyDescent="0.25">
      <c r="A776" s="35"/>
    </row>
    <row r="777" spans="1:1" x14ac:dyDescent="0.25">
      <c r="A777" s="35"/>
    </row>
    <row r="778" spans="1:1" x14ac:dyDescent="0.25">
      <c r="A778" s="35"/>
    </row>
    <row r="779" spans="1:1" x14ac:dyDescent="0.25">
      <c r="A779" s="35"/>
    </row>
    <row r="780" spans="1:1" x14ac:dyDescent="0.25">
      <c r="A780" s="35"/>
    </row>
    <row r="781" spans="1:1" x14ac:dyDescent="0.25">
      <c r="A781" s="35"/>
    </row>
    <row r="782" spans="1:1" x14ac:dyDescent="0.25">
      <c r="A782" s="35"/>
    </row>
    <row r="783" spans="1:1" x14ac:dyDescent="0.25">
      <c r="A783" s="35"/>
    </row>
    <row r="784" spans="1:1" x14ac:dyDescent="0.25">
      <c r="A784" s="35"/>
    </row>
    <row r="785" spans="1:1" x14ac:dyDescent="0.25">
      <c r="A785" s="35"/>
    </row>
    <row r="786" spans="1:1" x14ac:dyDescent="0.25">
      <c r="A786" s="35"/>
    </row>
    <row r="787" spans="1:1" x14ac:dyDescent="0.25">
      <c r="A787" s="35"/>
    </row>
    <row r="788" spans="1:1" x14ac:dyDescent="0.25">
      <c r="A788" s="35"/>
    </row>
    <row r="789" spans="1:1" x14ac:dyDescent="0.25">
      <c r="A789" s="35"/>
    </row>
    <row r="790" spans="1:1" x14ac:dyDescent="0.25">
      <c r="A790" s="35"/>
    </row>
    <row r="791" spans="1:1" x14ac:dyDescent="0.25">
      <c r="A791" s="35"/>
    </row>
    <row r="792" spans="1:1" x14ac:dyDescent="0.25">
      <c r="A792" s="35"/>
    </row>
    <row r="793" spans="1:1" x14ac:dyDescent="0.25">
      <c r="A793" s="35"/>
    </row>
    <row r="794" spans="1:1" x14ac:dyDescent="0.25">
      <c r="A794" s="35"/>
    </row>
    <row r="795" spans="1:1" x14ac:dyDescent="0.25">
      <c r="A795" s="35"/>
    </row>
    <row r="796" spans="1:1" x14ac:dyDescent="0.25">
      <c r="A796" s="35"/>
    </row>
    <row r="797" spans="1:1" x14ac:dyDescent="0.25">
      <c r="A797" s="35"/>
    </row>
    <row r="798" spans="1:1" x14ac:dyDescent="0.25">
      <c r="A798" s="35"/>
    </row>
    <row r="799" spans="1:1" x14ac:dyDescent="0.25">
      <c r="A799" s="35"/>
    </row>
    <row r="800" spans="1:1" x14ac:dyDescent="0.25">
      <c r="A800" s="35"/>
    </row>
    <row r="801" spans="1:1" x14ac:dyDescent="0.25">
      <c r="A801" s="35"/>
    </row>
    <row r="802" spans="1:1" x14ac:dyDescent="0.25">
      <c r="A802" s="35"/>
    </row>
    <row r="803" spans="1:1" x14ac:dyDescent="0.25">
      <c r="A803" s="35"/>
    </row>
    <row r="804" spans="1:1" x14ac:dyDescent="0.25">
      <c r="A804" s="35"/>
    </row>
    <row r="805" spans="1:1" x14ac:dyDescent="0.25">
      <c r="A805" s="35"/>
    </row>
    <row r="806" spans="1:1" x14ac:dyDescent="0.25">
      <c r="A806" s="35"/>
    </row>
    <row r="807" spans="1:1" x14ac:dyDescent="0.25">
      <c r="A807" s="35"/>
    </row>
    <row r="808" spans="1:1" x14ac:dyDescent="0.25">
      <c r="A808" s="35"/>
    </row>
    <row r="809" spans="1:1" x14ac:dyDescent="0.25">
      <c r="A809" s="35"/>
    </row>
    <row r="810" spans="1:1" x14ac:dyDescent="0.25">
      <c r="A810" s="35"/>
    </row>
    <row r="811" spans="1:1" x14ac:dyDescent="0.25">
      <c r="A811" s="35"/>
    </row>
    <row r="812" spans="1:1" x14ac:dyDescent="0.25">
      <c r="A812" s="35"/>
    </row>
    <row r="813" spans="1:1" x14ac:dyDescent="0.25">
      <c r="A813" s="3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4"/>
  <dimension ref="A1:N769"/>
  <sheetViews>
    <sheetView zoomScale="180" zoomScaleNormal="180" workbookViewId="0">
      <selection activeCell="H4" sqref="H4"/>
    </sheetView>
  </sheetViews>
  <sheetFormatPr defaultColWidth="8.85546875" defaultRowHeight="15" x14ac:dyDescent="0.25"/>
  <cols>
    <col min="1" max="1" width="11.7109375" style="33" customWidth="1"/>
    <col min="2" max="2" width="7.42578125" style="33" bestFit="1" customWidth="1"/>
    <col min="3" max="3" width="23.140625" style="33" customWidth="1"/>
    <col min="4" max="4" width="8.42578125" style="33" bestFit="1" customWidth="1"/>
    <col min="5" max="5" width="12.140625" style="33" bestFit="1" customWidth="1"/>
    <col min="6" max="6" width="14.85546875" style="33" customWidth="1"/>
    <col min="7" max="8" width="11.28515625" style="34" customWidth="1"/>
    <col min="9" max="9" width="14" style="33" customWidth="1"/>
    <col min="10" max="16384" width="8.85546875" style="33"/>
  </cols>
  <sheetData>
    <row r="1" spans="1:14" ht="33" x14ac:dyDescent="0.45">
      <c r="A1" s="66" t="s">
        <v>183</v>
      </c>
      <c r="F1" s="33">
        <f>SUM(F4:F500)</f>
        <v>0</v>
      </c>
      <c r="G1" s="34">
        <f>SUM(G4:G1048576)</f>
        <v>0</v>
      </c>
      <c r="H1" s="34">
        <f>F1-G1</f>
        <v>0</v>
      </c>
    </row>
    <row r="2" spans="1:14" ht="20.25" x14ac:dyDescent="0.3">
      <c r="A2" s="37" t="s">
        <v>0</v>
      </c>
      <c r="B2" s="37" t="s">
        <v>1</v>
      </c>
      <c r="C2" s="37" t="s">
        <v>17</v>
      </c>
      <c r="D2" s="37" t="s">
        <v>18</v>
      </c>
      <c r="E2" s="37" t="s">
        <v>193</v>
      </c>
      <c r="F2" s="37" t="s">
        <v>11</v>
      </c>
      <c r="G2" s="67" t="s">
        <v>9</v>
      </c>
      <c r="H2" s="67" t="s">
        <v>6</v>
      </c>
    </row>
    <row r="3" spans="1:14" ht="20.25" x14ac:dyDescent="0.3">
      <c r="A3" s="37"/>
      <c r="B3" s="37"/>
      <c r="C3" s="37"/>
      <c r="D3" s="37"/>
      <c r="E3" s="37"/>
      <c r="F3" s="37"/>
      <c r="G3" s="67"/>
      <c r="H3" s="67"/>
    </row>
    <row r="4" spans="1:14" x14ac:dyDescent="0.25">
      <c r="A4" s="35"/>
    </row>
    <row r="5" spans="1:14" x14ac:dyDescent="0.25">
      <c r="A5" s="35"/>
    </row>
    <row r="6" spans="1:14" x14ac:dyDescent="0.25">
      <c r="A6" s="35"/>
      <c r="N6" s="33">
        <v>694000</v>
      </c>
    </row>
    <row r="7" spans="1:14" x14ac:dyDescent="0.25">
      <c r="A7" s="35"/>
      <c r="N7" s="33">
        <v>121000</v>
      </c>
    </row>
    <row r="8" spans="1:14" x14ac:dyDescent="0.25">
      <c r="A8" s="35"/>
      <c r="N8" s="33">
        <v>475000</v>
      </c>
    </row>
    <row r="9" spans="1:14" x14ac:dyDescent="0.25">
      <c r="A9" s="35"/>
      <c r="N9" s="33">
        <v>255000</v>
      </c>
    </row>
    <row r="10" spans="1:14" x14ac:dyDescent="0.25">
      <c r="A10" s="35"/>
      <c r="I10" s="33" t="s">
        <v>197</v>
      </c>
      <c r="N10" s="33">
        <v>283500</v>
      </c>
    </row>
    <row r="11" spans="1:14" x14ac:dyDescent="0.25">
      <c r="A11" s="35"/>
      <c r="N11" s="33">
        <v>671500</v>
      </c>
    </row>
    <row r="12" spans="1:14" x14ac:dyDescent="0.25">
      <c r="A12" s="35"/>
      <c r="F12" s="34"/>
    </row>
    <row r="13" spans="1:14" x14ac:dyDescent="0.25">
      <c r="A13" s="35"/>
      <c r="F13" s="34"/>
    </row>
    <row r="14" spans="1:14" x14ac:dyDescent="0.25">
      <c r="A14" s="35"/>
      <c r="F14" s="34"/>
    </row>
    <row r="15" spans="1:14" x14ac:dyDescent="0.25">
      <c r="A15" s="35"/>
      <c r="F15" s="34"/>
    </row>
    <row r="16" spans="1:14" x14ac:dyDescent="0.25">
      <c r="A16" s="35"/>
      <c r="F16" s="34"/>
    </row>
    <row r="17" spans="1:3" x14ac:dyDescent="0.25">
      <c r="A17" s="35"/>
    </row>
    <row r="18" spans="1:3" x14ac:dyDescent="0.25">
      <c r="A18" s="35"/>
    </row>
    <row r="19" spans="1:3" x14ac:dyDescent="0.25">
      <c r="A19" s="35"/>
    </row>
    <row r="20" spans="1:3" x14ac:dyDescent="0.25">
      <c r="A20" s="35"/>
    </row>
    <row r="21" spans="1:3" x14ac:dyDescent="0.25">
      <c r="A21" s="35"/>
    </row>
    <row r="22" spans="1:3" x14ac:dyDescent="0.25">
      <c r="A22" s="35"/>
    </row>
    <row r="23" spans="1:3" x14ac:dyDescent="0.25">
      <c r="A23" s="35"/>
    </row>
    <row r="24" spans="1:3" x14ac:dyDescent="0.25">
      <c r="A24" s="35"/>
    </row>
    <row r="25" spans="1:3" x14ac:dyDescent="0.25">
      <c r="A25" s="35"/>
    </row>
    <row r="26" spans="1:3" x14ac:dyDescent="0.25">
      <c r="A26" s="35"/>
    </row>
    <row r="27" spans="1:3" x14ac:dyDescent="0.25">
      <c r="A27" s="35"/>
    </row>
    <row r="28" spans="1:3" x14ac:dyDescent="0.25">
      <c r="A28" s="35"/>
    </row>
    <row r="29" spans="1:3" x14ac:dyDescent="0.25">
      <c r="A29" s="35"/>
      <c r="C29" s="39"/>
    </row>
    <row r="30" spans="1:3" x14ac:dyDescent="0.25">
      <c r="A30" s="35"/>
    </row>
    <row r="31" spans="1:3" x14ac:dyDescent="0.25">
      <c r="A31" s="35"/>
    </row>
    <row r="32" spans="1:3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0" x14ac:dyDescent="0.25">
      <c r="A49" s="35"/>
    </row>
    <row r="50" spans="1:10" x14ac:dyDescent="0.25">
      <c r="A50" s="35"/>
    </row>
    <row r="51" spans="1:10" x14ac:dyDescent="0.25">
      <c r="A51" s="35"/>
    </row>
    <row r="52" spans="1:10" x14ac:dyDescent="0.25">
      <c r="A52" s="35"/>
    </row>
    <row r="53" spans="1:10" x14ac:dyDescent="0.25">
      <c r="A53" s="35"/>
    </row>
    <row r="54" spans="1:10" x14ac:dyDescent="0.25">
      <c r="A54" s="35"/>
    </row>
    <row r="55" spans="1:10" x14ac:dyDescent="0.25">
      <c r="A55" s="35"/>
    </row>
    <row r="56" spans="1:10" x14ac:dyDescent="0.25">
      <c r="A56" s="35"/>
    </row>
    <row r="57" spans="1:10" x14ac:dyDescent="0.25">
      <c r="A57" s="35"/>
    </row>
    <row r="58" spans="1:10" x14ac:dyDescent="0.25">
      <c r="A58" s="35"/>
    </row>
    <row r="59" spans="1:10" x14ac:dyDescent="0.25">
      <c r="A59" s="35"/>
    </row>
    <row r="60" spans="1:10" x14ac:dyDescent="0.25">
      <c r="A60" s="35"/>
    </row>
    <row r="61" spans="1:10" x14ac:dyDescent="0.25">
      <c r="A61" s="35"/>
    </row>
    <row r="62" spans="1:10" x14ac:dyDescent="0.25">
      <c r="A62" s="35"/>
    </row>
    <row r="63" spans="1:10" x14ac:dyDescent="0.25">
      <c r="A63" s="35"/>
    </row>
    <row r="64" spans="1:10" x14ac:dyDescent="0.25">
      <c r="A64" s="35"/>
      <c r="J64" s="68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66" spans="1:9" x14ac:dyDescent="0.25">
      <c r="D766" s="33" t="s">
        <v>163</v>
      </c>
      <c r="F766" s="33">
        <v>400000</v>
      </c>
      <c r="I766" s="33">
        <v>24439903</v>
      </c>
    </row>
    <row r="767" spans="1:9" x14ac:dyDescent="0.25">
      <c r="A767" s="33" t="s">
        <v>167</v>
      </c>
      <c r="B767" s="33">
        <v>219</v>
      </c>
      <c r="C767" s="33" t="s">
        <v>158</v>
      </c>
      <c r="D767" s="33" t="s">
        <v>156</v>
      </c>
      <c r="F767" s="33">
        <v>167900</v>
      </c>
      <c r="I767" s="33">
        <v>38.799999999999997</v>
      </c>
    </row>
    <row r="768" spans="1:9" x14ac:dyDescent="0.25">
      <c r="A768" s="33" t="s">
        <v>167</v>
      </c>
      <c r="B768" s="33">
        <v>219</v>
      </c>
      <c r="C768" s="33" t="s">
        <v>158</v>
      </c>
      <c r="D768" s="33" t="s">
        <v>156</v>
      </c>
      <c r="F768" s="33">
        <v>480000</v>
      </c>
      <c r="I768" s="33">
        <v>210</v>
      </c>
    </row>
    <row r="769" spans="1:9" x14ac:dyDescent="0.25">
      <c r="A769" s="33" t="s">
        <v>167</v>
      </c>
      <c r="B769" s="33">
        <v>219</v>
      </c>
      <c r="C769" s="33" t="s">
        <v>159</v>
      </c>
      <c r="D769" s="33" t="s">
        <v>156</v>
      </c>
      <c r="F769" s="33">
        <v>148000</v>
      </c>
      <c r="I769" s="33">
        <v>1824091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H67"/>
  <sheetViews>
    <sheetView zoomScale="170" zoomScaleNormal="170" workbookViewId="0">
      <selection activeCell="A15" sqref="A5:I15"/>
    </sheetView>
  </sheetViews>
  <sheetFormatPr defaultColWidth="8.85546875" defaultRowHeight="15" x14ac:dyDescent="0.25"/>
  <cols>
    <col min="1" max="1" width="10.42578125" style="33" customWidth="1"/>
    <col min="2" max="2" width="9.7109375" style="33" customWidth="1"/>
    <col min="3" max="3" width="23.42578125" style="33" customWidth="1"/>
    <col min="4" max="5" width="11.42578125" style="33" customWidth="1"/>
    <col min="6" max="6" width="10.85546875" style="33" customWidth="1"/>
    <col min="7" max="7" width="10.140625" style="33" customWidth="1"/>
    <col min="8" max="8" width="9.140625" style="33" bestFit="1" customWidth="1"/>
    <col min="9" max="16384" width="8.85546875" style="33"/>
  </cols>
  <sheetData>
    <row r="1" spans="1:8" ht="27.75" x14ac:dyDescent="0.4">
      <c r="A1" s="53" t="s">
        <v>98</v>
      </c>
      <c r="B1" s="53"/>
      <c r="C1" s="53"/>
      <c r="D1" s="33">
        <v>19</v>
      </c>
      <c r="F1" s="33">
        <f>SUM(F4:F500)</f>
        <v>0</v>
      </c>
      <c r="G1" s="33">
        <f>SUM(G4:G1048576)</f>
        <v>0</v>
      </c>
      <c r="H1" s="33">
        <f>F1-G1</f>
        <v>0</v>
      </c>
    </row>
    <row r="3" spans="1:8" x14ac:dyDescent="0.25">
      <c r="A3" s="33" t="s">
        <v>21</v>
      </c>
      <c r="B3" s="33" t="s">
        <v>38</v>
      </c>
      <c r="C3" s="33" t="s">
        <v>48</v>
      </c>
      <c r="D3" s="33" t="s">
        <v>3</v>
      </c>
      <c r="E3" s="33" t="s">
        <v>193</v>
      </c>
      <c r="F3" s="33" t="s">
        <v>24</v>
      </c>
      <c r="G3" s="33" t="s">
        <v>25</v>
      </c>
      <c r="H3" s="33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  <c r="F12" s="34"/>
      <c r="G12" s="34"/>
    </row>
    <row r="13" spans="1:8" x14ac:dyDescent="0.25">
      <c r="A13" s="35"/>
      <c r="F13" s="34"/>
    </row>
    <row r="14" spans="1:8" x14ac:dyDescent="0.25">
      <c r="A14" s="35"/>
      <c r="F14" s="34"/>
    </row>
    <row r="15" spans="1:8" x14ac:dyDescent="0.25">
      <c r="A15" s="35"/>
      <c r="F15" s="34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5"/>
  <dimension ref="A1:I33"/>
  <sheetViews>
    <sheetView workbookViewId="0">
      <selection activeCell="A33" sqref="A33"/>
    </sheetView>
  </sheetViews>
  <sheetFormatPr defaultRowHeight="15" x14ac:dyDescent="0.25"/>
  <cols>
    <col min="1" max="1" width="10.85546875" customWidth="1"/>
    <col min="2" max="2" width="10.140625" bestFit="1" customWidth="1"/>
    <col min="3" max="3" width="16.140625" bestFit="1" customWidth="1"/>
    <col min="4" max="4" width="5.42578125" bestFit="1" customWidth="1"/>
    <col min="5" max="5" width="10.28515625" customWidth="1"/>
    <col min="6" max="6" width="7.140625" bestFit="1" customWidth="1"/>
    <col min="7" max="7" width="9.140625" bestFit="1" customWidth="1"/>
  </cols>
  <sheetData>
    <row r="1" spans="1:9" ht="36" x14ac:dyDescent="0.55000000000000004">
      <c r="A1" s="7" t="s">
        <v>95</v>
      </c>
      <c r="B1" s="7"/>
      <c r="E1">
        <f>SUM(E4:E500)</f>
        <v>0</v>
      </c>
      <c r="F1">
        <f>SUM(F4:F1048576)</f>
        <v>0</v>
      </c>
      <c r="G1">
        <f>E1-F1</f>
        <v>0</v>
      </c>
      <c r="I1">
        <v>4</v>
      </c>
    </row>
    <row r="3" spans="1:9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10" spans="1:9" x14ac:dyDescent="0.25">
      <c r="C10" s="3"/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H243"/>
  <sheetViews>
    <sheetView workbookViewId="0">
      <selection activeCell="A33" sqref="A33"/>
    </sheetView>
  </sheetViews>
  <sheetFormatPr defaultRowHeight="15" x14ac:dyDescent="0.25"/>
  <cols>
    <col min="1" max="1" width="11.7109375" customWidth="1"/>
    <col min="3" max="3" width="18.42578125" customWidth="1"/>
    <col min="4" max="4" width="10.28515625" customWidth="1"/>
    <col min="5" max="6" width="11.5703125" customWidth="1"/>
    <col min="7" max="7" width="11" customWidth="1"/>
  </cols>
  <sheetData>
    <row r="1" spans="1:7" ht="26.25" x14ac:dyDescent="0.4">
      <c r="A1" s="15" t="s">
        <v>28</v>
      </c>
      <c r="C1">
        <v>19</v>
      </c>
      <c r="E1">
        <f>SUM(E4:E500)</f>
        <v>0</v>
      </c>
      <c r="F1">
        <f>SUM(F4:F1048576)</f>
        <v>0</v>
      </c>
      <c r="G1">
        <f>E1-F1</f>
        <v>0</v>
      </c>
    </row>
    <row r="2" spans="1:7" x14ac:dyDescent="0.25">
      <c r="A2" t="s">
        <v>0</v>
      </c>
      <c r="B2" t="s">
        <v>1</v>
      </c>
      <c r="C2" t="s">
        <v>7</v>
      </c>
      <c r="D2" t="s">
        <v>3</v>
      </c>
      <c r="E2" t="s">
        <v>11</v>
      </c>
      <c r="F2" t="s">
        <v>9</v>
      </c>
      <c r="G2" t="s">
        <v>6</v>
      </c>
    </row>
    <row r="20" spans="4:4" x14ac:dyDescent="0.25">
      <c r="D20" s="33"/>
    </row>
    <row r="33" spans="1:7" x14ac:dyDescent="0.25">
      <c r="A33" s="33"/>
    </row>
    <row r="45" spans="1:7" s="12" customFormat="1" x14ac:dyDescent="0.25">
      <c r="G45"/>
    </row>
    <row r="46" spans="1:7" s="12" customFormat="1" x14ac:dyDescent="0.25">
      <c r="A46" s="25"/>
      <c r="B46" s="25"/>
      <c r="C46" s="25"/>
      <c r="D46" s="25"/>
      <c r="E46" s="25"/>
      <c r="F46" s="25"/>
      <c r="G46"/>
    </row>
    <row r="47" spans="1:7" s="11" customFormat="1" x14ac:dyDescent="0.25">
      <c r="A47" s="26"/>
      <c r="B47" s="26"/>
      <c r="C47" s="26"/>
      <c r="D47" s="26"/>
      <c r="E47" s="26"/>
      <c r="F47" s="26"/>
      <c r="G47"/>
    </row>
    <row r="243" spans="8:8" x14ac:dyDescent="0.25"/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"/>
  <dimension ref="A1:V44"/>
  <sheetViews>
    <sheetView zoomScale="150" zoomScaleNormal="150" workbookViewId="0">
      <selection activeCell="A4" sqref="A4:H13"/>
    </sheetView>
  </sheetViews>
  <sheetFormatPr defaultColWidth="8.85546875" defaultRowHeight="15" x14ac:dyDescent="0.25"/>
  <cols>
    <col min="1" max="1" width="11.7109375" style="33" customWidth="1"/>
    <col min="2" max="2" width="7.42578125" style="33" bestFit="1" customWidth="1"/>
    <col min="3" max="3" width="15.140625" style="33" bestFit="1" customWidth="1"/>
    <col min="4" max="4" width="7.5703125" style="33" customWidth="1"/>
    <col min="5" max="5" width="10" style="33" bestFit="1" customWidth="1"/>
    <col min="6" max="6" width="12.28515625" style="33" bestFit="1" customWidth="1"/>
    <col min="7" max="7" width="13" style="33" bestFit="1" customWidth="1"/>
    <col min="8" max="8" width="8.7109375" style="33" customWidth="1"/>
    <col min="9" max="16384" width="8.85546875" style="33"/>
  </cols>
  <sheetData>
    <row r="1" spans="1:22" ht="27" x14ac:dyDescent="0.35">
      <c r="A1" s="79" t="s">
        <v>177</v>
      </c>
      <c r="B1" s="79"/>
      <c r="C1" s="79"/>
      <c r="D1" s="79"/>
      <c r="E1" s="33">
        <f>SUM(E4:E500)</f>
        <v>0</v>
      </c>
      <c r="F1" s="33">
        <f>SUM(F4:F1048576)</f>
        <v>0</v>
      </c>
      <c r="G1" s="33">
        <f>E1-F1</f>
        <v>0</v>
      </c>
      <c r="J1" s="33">
        <v>46</v>
      </c>
    </row>
    <row r="2" spans="1:22" ht="20.25" x14ac:dyDescent="0.3">
      <c r="A2" s="37" t="s">
        <v>0</v>
      </c>
      <c r="B2" s="37" t="s">
        <v>1</v>
      </c>
      <c r="C2" s="37" t="s">
        <v>8</v>
      </c>
      <c r="D2" s="37" t="s">
        <v>3</v>
      </c>
      <c r="E2" s="37" t="s">
        <v>4</v>
      </c>
      <c r="F2" s="37" t="s">
        <v>9</v>
      </c>
      <c r="G2" s="37" t="s">
        <v>6</v>
      </c>
    </row>
    <row r="3" spans="1:22" ht="20.25" x14ac:dyDescent="0.3">
      <c r="A3" s="37"/>
      <c r="B3" s="37"/>
      <c r="C3" s="37"/>
      <c r="D3" s="37"/>
      <c r="E3" s="37"/>
      <c r="F3" s="37"/>
      <c r="G3" s="37"/>
    </row>
    <row r="4" spans="1:22" x14ac:dyDescent="0.25">
      <c r="A4" s="35"/>
    </row>
    <row r="5" spans="1:22" x14ac:dyDescent="0.25">
      <c r="A5" s="35"/>
    </row>
    <row r="6" spans="1:22" x14ac:dyDescent="0.25">
      <c r="A6" s="35"/>
    </row>
    <row r="7" spans="1:22" x14ac:dyDescent="0.25">
      <c r="A7" s="35"/>
    </row>
    <row r="8" spans="1:22" x14ac:dyDescent="0.25">
      <c r="A8" s="35"/>
    </row>
    <row r="9" spans="1:22" x14ac:dyDescent="0.25">
      <c r="A9" s="35"/>
    </row>
    <row r="10" spans="1:22" x14ac:dyDescent="0.25">
      <c r="A10" s="35"/>
    </row>
    <row r="11" spans="1:22" x14ac:dyDescent="0.25">
      <c r="A11" s="35"/>
    </row>
    <row r="12" spans="1:22" ht="18.75" x14ac:dyDescent="0.3">
      <c r="A12" s="35"/>
      <c r="L12" s="41"/>
      <c r="M12" s="41"/>
      <c r="N12" s="41"/>
      <c r="O12" s="41"/>
      <c r="P12" s="41"/>
      <c r="S12" s="41"/>
      <c r="T12" s="41"/>
      <c r="U12" s="41"/>
      <c r="V12" s="41"/>
    </row>
    <row r="13" spans="1:22" x14ac:dyDescent="0.25">
      <c r="A13" s="35"/>
    </row>
    <row r="14" spans="1:22" x14ac:dyDescent="0.25">
      <c r="A14" s="35"/>
    </row>
    <row r="15" spans="1:22" x14ac:dyDescent="0.25">
      <c r="A15" s="35"/>
    </row>
    <row r="16" spans="1:22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6"/>
  <dimension ref="A1:I20"/>
  <sheetViews>
    <sheetView zoomScale="150" zoomScaleNormal="150" workbookViewId="0">
      <selection activeCell="J8" sqref="J8"/>
    </sheetView>
  </sheetViews>
  <sheetFormatPr defaultColWidth="8.85546875" defaultRowHeight="15" x14ac:dyDescent="0.25"/>
  <cols>
    <col min="1" max="1" width="10.28515625" style="33" customWidth="1"/>
    <col min="2" max="2" width="8.85546875" style="33" customWidth="1"/>
    <col min="3" max="3" width="21.5703125" style="33" customWidth="1"/>
    <col min="4" max="5" width="9.28515625" style="33" customWidth="1"/>
    <col min="6" max="6" width="13.7109375" style="33" customWidth="1"/>
    <col min="7" max="8" width="10.28515625" style="34" bestFit="1" customWidth="1"/>
    <col min="9" max="9" width="12" style="33" bestFit="1" customWidth="1"/>
    <col min="10" max="16384" width="8.85546875" style="33"/>
  </cols>
  <sheetData>
    <row r="1" spans="1:9" ht="33" x14ac:dyDescent="0.45">
      <c r="A1" s="66" t="s">
        <v>201</v>
      </c>
      <c r="B1" s="66"/>
      <c r="D1" s="33">
        <v>27</v>
      </c>
      <c r="F1" s="33">
        <f>SUM(F4:F500)</f>
        <v>0</v>
      </c>
      <c r="G1" s="34">
        <f>SUM(G4:G1048576)</f>
        <v>0</v>
      </c>
      <c r="H1" s="34">
        <f>F1-G1</f>
        <v>0</v>
      </c>
    </row>
    <row r="2" spans="1:9" ht="24.75" customHeight="1" x14ac:dyDescent="0.25">
      <c r="A2" s="33" t="s">
        <v>21</v>
      </c>
      <c r="B2" s="33" t="s">
        <v>38</v>
      </c>
      <c r="C2" s="33" t="s">
        <v>48</v>
      </c>
      <c r="D2" s="33" t="s">
        <v>3</v>
      </c>
      <c r="E2" s="33" t="s">
        <v>193</v>
      </c>
      <c r="F2" s="33" t="s">
        <v>24</v>
      </c>
      <c r="G2" s="34" t="s">
        <v>25</v>
      </c>
      <c r="H2" s="34" t="s">
        <v>6</v>
      </c>
    </row>
    <row r="4" spans="1:9" x14ac:dyDescent="0.25">
      <c r="A4" s="35"/>
      <c r="I4" s="33" t="s">
        <v>197</v>
      </c>
    </row>
    <row r="5" spans="1:9" ht="15.75" customHeight="1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  <c r="I12" s="33" t="s">
        <v>197</v>
      </c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9" x14ac:dyDescent="0.25">
      <c r="A17" s="35"/>
      <c r="I17" s="33" t="s">
        <v>197</v>
      </c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/>
  <dimension ref="A1:J206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5.7109375" style="33" customWidth="1"/>
    <col min="3" max="3" width="31.140625" style="33" bestFit="1" customWidth="1"/>
    <col min="4" max="4" width="7.7109375" style="33" bestFit="1" customWidth="1"/>
    <col min="5" max="5" width="5.5703125" style="33" customWidth="1"/>
    <col min="6" max="6" width="10.140625" style="34" customWidth="1"/>
    <col min="7" max="7" width="10.85546875" style="34" customWidth="1"/>
    <col min="8" max="8" width="12" style="34" customWidth="1"/>
    <col min="9" max="9" width="12.7109375" style="33" bestFit="1" customWidth="1"/>
    <col min="10" max="16384" width="8.85546875" style="33"/>
  </cols>
  <sheetData>
    <row r="1" spans="1:8" ht="33" x14ac:dyDescent="0.45">
      <c r="A1" s="66" t="s">
        <v>53</v>
      </c>
      <c r="B1" s="66"/>
      <c r="D1" s="33">
        <v>43</v>
      </c>
      <c r="F1" s="34">
        <f>SUM(F4:F501)</f>
        <v>0</v>
      </c>
      <c r="G1" s="34">
        <f>SUM(G4:G1048576)</f>
        <v>0</v>
      </c>
      <c r="H1" s="34">
        <f>F1-G1</f>
        <v>0</v>
      </c>
    </row>
    <row r="2" spans="1:8" ht="20.25" x14ac:dyDescent="0.3">
      <c r="A2" s="37" t="s">
        <v>0</v>
      </c>
      <c r="B2" s="37" t="s">
        <v>1</v>
      </c>
      <c r="C2" s="37" t="s">
        <v>7</v>
      </c>
      <c r="D2" s="37" t="s">
        <v>3</v>
      </c>
      <c r="E2" s="37" t="s">
        <v>193</v>
      </c>
      <c r="F2" s="67" t="s">
        <v>10</v>
      </c>
      <c r="G2" s="67" t="s">
        <v>9</v>
      </c>
      <c r="H2" s="67" t="s">
        <v>6</v>
      </c>
    </row>
    <row r="3" spans="1:8" ht="20.25" x14ac:dyDescent="0.3">
      <c r="A3" s="37"/>
      <c r="B3" s="37"/>
      <c r="C3" s="37"/>
      <c r="D3" s="37"/>
      <c r="E3" s="37"/>
      <c r="F3" s="67"/>
      <c r="G3" s="67"/>
      <c r="H3" s="67"/>
    </row>
    <row r="4" spans="1:8" x14ac:dyDescent="0.25">
      <c r="A4" s="35"/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0" x14ac:dyDescent="0.25">
      <c r="A17" s="35"/>
    </row>
    <row r="18" spans="1:10" x14ac:dyDescent="0.25">
      <c r="A18" s="35"/>
    </row>
    <row r="19" spans="1:10" x14ac:dyDescent="0.25">
      <c r="A19" s="35"/>
    </row>
    <row r="20" spans="1:10" x14ac:dyDescent="0.25">
      <c r="A20" s="35"/>
    </row>
    <row r="21" spans="1:10" x14ac:dyDescent="0.25">
      <c r="A21" s="35"/>
    </row>
    <row r="22" spans="1:10" x14ac:dyDescent="0.25">
      <c r="A22" s="35"/>
    </row>
    <row r="23" spans="1:10" x14ac:dyDescent="0.25">
      <c r="A23" s="35"/>
    </row>
    <row r="24" spans="1:10" x14ac:dyDescent="0.25">
      <c r="A24" s="35"/>
    </row>
    <row r="25" spans="1:10" x14ac:dyDescent="0.25">
      <c r="A25" s="35"/>
    </row>
    <row r="26" spans="1:10" x14ac:dyDescent="0.25">
      <c r="A26" s="35"/>
      <c r="J26" s="68"/>
    </row>
    <row r="27" spans="1:10" x14ac:dyDescent="0.25">
      <c r="A27" s="35"/>
    </row>
    <row r="28" spans="1:10" x14ac:dyDescent="0.25">
      <c r="A28" s="35"/>
    </row>
    <row r="29" spans="1:10" x14ac:dyDescent="0.25">
      <c r="A29" s="35"/>
    </row>
    <row r="30" spans="1:10" x14ac:dyDescent="0.25">
      <c r="A30" s="35"/>
    </row>
    <row r="31" spans="1:10" x14ac:dyDescent="0.25">
      <c r="A31" s="35"/>
    </row>
    <row r="32" spans="1:10" x14ac:dyDescent="0.25">
      <c r="A32" s="35"/>
    </row>
    <row r="33" spans="1:5" x14ac:dyDescent="0.25">
      <c r="A33" s="35"/>
    </row>
    <row r="34" spans="1:5" x14ac:dyDescent="0.25">
      <c r="A34" s="35"/>
    </row>
    <row r="35" spans="1:5" x14ac:dyDescent="0.25">
      <c r="A35" s="35"/>
    </row>
    <row r="36" spans="1:5" x14ac:dyDescent="0.25">
      <c r="A36" s="35"/>
    </row>
    <row r="37" spans="1:5" x14ac:dyDescent="0.25">
      <c r="A37" s="35"/>
    </row>
    <row r="38" spans="1:5" x14ac:dyDescent="0.25">
      <c r="A38" s="35"/>
    </row>
    <row r="39" spans="1:5" x14ac:dyDescent="0.25">
      <c r="A39" s="35"/>
      <c r="D39" s="40"/>
      <c r="E39" s="40"/>
    </row>
    <row r="40" spans="1:5" x14ac:dyDescent="0.25">
      <c r="A40" s="35"/>
    </row>
    <row r="41" spans="1:5" x14ac:dyDescent="0.25">
      <c r="A41" s="35"/>
    </row>
    <row r="42" spans="1:5" ht="18.75" customHeight="1" x14ac:dyDescent="0.25">
      <c r="A42" s="35"/>
    </row>
    <row r="43" spans="1:5" x14ac:dyDescent="0.25">
      <c r="A43" s="35"/>
    </row>
    <row r="44" spans="1:5" x14ac:dyDescent="0.25">
      <c r="A44" s="35"/>
    </row>
    <row r="45" spans="1:5" x14ac:dyDescent="0.25">
      <c r="A45" s="35"/>
    </row>
    <row r="46" spans="1:5" x14ac:dyDescent="0.25">
      <c r="A46" s="35"/>
    </row>
    <row r="47" spans="1:5" x14ac:dyDescent="0.25">
      <c r="A47" s="35"/>
    </row>
    <row r="48" spans="1:5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/>
  <dimension ref="A1:I769"/>
  <sheetViews>
    <sheetView workbookViewId="0">
      <selection activeCell="A33" sqref="A33"/>
    </sheetView>
  </sheetViews>
  <sheetFormatPr defaultRowHeight="15" x14ac:dyDescent="0.25"/>
  <cols>
    <col min="1" max="1" width="15" customWidth="1"/>
    <col min="2" max="2" width="9.140625" customWidth="1"/>
    <col min="3" max="3" width="20.140625" customWidth="1"/>
    <col min="4" max="4" width="7.7109375" bestFit="1" customWidth="1"/>
    <col min="5" max="5" width="10.7109375" bestFit="1" customWidth="1"/>
    <col min="6" max="6" width="12.28515625" bestFit="1" customWidth="1"/>
    <col min="7" max="7" width="14" customWidth="1"/>
    <col min="8" max="8" width="10.140625" customWidth="1"/>
    <col min="9" max="9" width="14.28515625" bestFit="1" customWidth="1"/>
  </cols>
  <sheetData>
    <row r="1" spans="1:9" ht="36" x14ac:dyDescent="0.55000000000000004">
      <c r="A1" s="7" t="s">
        <v>54</v>
      </c>
      <c r="B1">
        <v>23</v>
      </c>
      <c r="E1">
        <f>SUM(E4:E500)</f>
        <v>0</v>
      </c>
      <c r="F1">
        <f>SUM(F4:F1048576)</f>
        <v>0</v>
      </c>
      <c r="G1">
        <f>E1-F1</f>
        <v>0</v>
      </c>
    </row>
    <row r="2" spans="1:9" ht="21" x14ac:dyDescent="0.35">
      <c r="A2" s="2" t="s">
        <v>0</v>
      </c>
      <c r="B2" s="2" t="s">
        <v>1</v>
      </c>
      <c r="C2" s="2" t="s">
        <v>7</v>
      </c>
      <c r="D2" s="2" t="s">
        <v>3</v>
      </c>
      <c r="E2" s="2" t="s">
        <v>11</v>
      </c>
      <c r="F2" s="2" t="s">
        <v>9</v>
      </c>
      <c r="G2" s="2" t="s">
        <v>6</v>
      </c>
      <c r="I2" s="2" t="s">
        <v>72</v>
      </c>
    </row>
    <row r="3" spans="1:9" ht="21" x14ac:dyDescent="0.35">
      <c r="A3" s="2"/>
      <c r="B3" s="2"/>
      <c r="C3" s="2"/>
      <c r="D3" s="2"/>
      <c r="E3" s="2"/>
      <c r="F3" s="2"/>
      <c r="G3" s="2"/>
    </row>
    <row r="4" spans="1:9" ht="26.25" x14ac:dyDescent="0.4">
      <c r="A4" s="5"/>
      <c r="C4" s="15"/>
    </row>
    <row r="5" spans="1:9" x14ac:dyDescent="0.25">
      <c r="A5" s="5"/>
    </row>
    <row r="6" spans="1:9" ht="26.25" x14ac:dyDescent="0.4">
      <c r="A6" s="5"/>
      <c r="C6" s="15"/>
    </row>
    <row r="7" spans="1:9" ht="26.25" x14ac:dyDescent="0.4">
      <c r="A7" s="5"/>
      <c r="C7" s="15"/>
    </row>
    <row r="8" spans="1:9" ht="18.75" x14ac:dyDescent="0.3">
      <c r="A8" s="27"/>
      <c r="B8" s="20"/>
      <c r="C8" s="28"/>
      <c r="D8" s="28"/>
      <c r="F8" s="12"/>
      <c r="H8" s="12"/>
    </row>
    <row r="9" spans="1:9" x14ac:dyDescent="0.25">
      <c r="A9" s="5"/>
      <c r="C9" s="12"/>
      <c r="D9" s="12"/>
      <c r="F9" s="12"/>
      <c r="H9" s="12"/>
    </row>
    <row r="10" spans="1:9" ht="26.25" x14ac:dyDescent="0.4">
      <c r="A10" s="5"/>
      <c r="C10" s="15"/>
    </row>
    <row r="11" spans="1:9" ht="26.25" x14ac:dyDescent="0.4">
      <c r="A11" s="5"/>
      <c r="C11" s="15"/>
    </row>
    <row r="12" spans="1:9" x14ac:dyDescent="0.25">
      <c r="A12" s="5"/>
    </row>
    <row r="13" spans="1:9" ht="15.75" x14ac:dyDescent="0.25">
      <c r="A13" s="29"/>
      <c r="B13" s="22"/>
      <c r="C13" s="22"/>
      <c r="D13" s="22"/>
    </row>
    <row r="14" spans="1:9" x14ac:dyDescent="0.25">
      <c r="A14" s="5"/>
    </row>
    <row r="15" spans="1:9" ht="23.25" x14ac:dyDescent="0.35">
      <c r="A15" s="5"/>
      <c r="C15" s="16"/>
    </row>
    <row r="16" spans="1:9" ht="23.25" x14ac:dyDescent="0.35">
      <c r="A16" s="5"/>
      <c r="C16" s="16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3" x14ac:dyDescent="0.25">
      <c r="A33" s="35"/>
    </row>
    <row r="34" spans="1:3" ht="18.75" customHeight="1" x14ac:dyDescent="0.25">
      <c r="A34" s="5"/>
    </row>
    <row r="35" spans="1:3" x14ac:dyDescent="0.25">
      <c r="A35" s="5"/>
    </row>
    <row r="36" spans="1:3" x14ac:dyDescent="0.25">
      <c r="A36" s="5"/>
    </row>
    <row r="37" spans="1:3" x14ac:dyDescent="0.25">
      <c r="A37" s="5"/>
    </row>
    <row r="38" spans="1:3" x14ac:dyDescent="0.25">
      <c r="A38" s="5"/>
    </row>
    <row r="39" spans="1:3" x14ac:dyDescent="0.25">
      <c r="A39" s="5"/>
    </row>
    <row r="40" spans="1:3" x14ac:dyDescent="0.25">
      <c r="A40" s="5"/>
    </row>
    <row r="41" spans="1:3" x14ac:dyDescent="0.25">
      <c r="A41" s="5"/>
    </row>
    <row r="42" spans="1:3" x14ac:dyDescent="0.25">
      <c r="A42" s="5"/>
    </row>
    <row r="43" spans="1:3" x14ac:dyDescent="0.25">
      <c r="A43" s="5"/>
    </row>
    <row r="44" spans="1:3" ht="20.25" customHeight="1" x14ac:dyDescent="0.25">
      <c r="A44" s="5"/>
      <c r="C44" s="17"/>
    </row>
    <row r="45" spans="1:3" x14ac:dyDescent="0.25">
      <c r="A45" s="5"/>
    </row>
    <row r="46" spans="1:3" x14ac:dyDescent="0.25">
      <c r="A46" s="5"/>
    </row>
    <row r="47" spans="1:3" x14ac:dyDescent="0.25">
      <c r="A47" s="5"/>
    </row>
    <row r="48" spans="1:3" x14ac:dyDescent="0.25">
      <c r="A48" s="5"/>
    </row>
    <row r="49" spans="1:9" x14ac:dyDescent="0.25">
      <c r="A49" s="5"/>
    </row>
    <row r="50" spans="1:9" x14ac:dyDescent="0.25">
      <c r="A50" s="5"/>
    </row>
    <row r="51" spans="1:9" x14ac:dyDescent="0.25">
      <c r="A51" s="5"/>
      <c r="I51" s="10"/>
    </row>
    <row r="52" spans="1:9" x14ac:dyDescent="0.25">
      <c r="A52" s="5"/>
    </row>
    <row r="53" spans="1:9" x14ac:dyDescent="0.25">
      <c r="A53" s="5"/>
    </row>
    <row r="54" spans="1:9" x14ac:dyDescent="0.25">
      <c r="A54" s="5"/>
    </row>
    <row r="55" spans="1:9" x14ac:dyDescent="0.25">
      <c r="A55" s="5"/>
    </row>
    <row r="56" spans="1:9" x14ac:dyDescent="0.25">
      <c r="A56" s="5"/>
    </row>
    <row r="57" spans="1:9" x14ac:dyDescent="0.25">
      <c r="A57" s="5"/>
    </row>
    <row r="58" spans="1:9" x14ac:dyDescent="0.25">
      <c r="A58" s="5"/>
    </row>
    <row r="59" spans="1:9" x14ac:dyDescent="0.25">
      <c r="A59" s="5"/>
    </row>
    <row r="60" spans="1:9" x14ac:dyDescent="0.25">
      <c r="A60" s="5"/>
    </row>
    <row r="61" spans="1:9" x14ac:dyDescent="0.25">
      <c r="A61" s="5"/>
    </row>
    <row r="62" spans="1:9" x14ac:dyDescent="0.25">
      <c r="A62" s="5"/>
    </row>
    <row r="63" spans="1:9" x14ac:dyDescent="0.25">
      <c r="A63" s="5"/>
    </row>
    <row r="64" spans="1:9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766" spans="1:8" x14ac:dyDescent="0.25">
      <c r="D766" t="s">
        <v>163</v>
      </c>
      <c r="E766">
        <v>400000</v>
      </c>
      <c r="H766">
        <v>24439903</v>
      </c>
    </row>
    <row r="767" spans="1:8" x14ac:dyDescent="0.25">
      <c r="A767" t="s">
        <v>167</v>
      </c>
      <c r="B767">
        <v>219</v>
      </c>
      <c r="C767" t="s">
        <v>158</v>
      </c>
      <c r="D767" t="s">
        <v>156</v>
      </c>
      <c r="E767">
        <v>167900</v>
      </c>
      <c r="H767">
        <v>38.799999999999997</v>
      </c>
    </row>
    <row r="768" spans="1:8" x14ac:dyDescent="0.25">
      <c r="A768" t="s">
        <v>167</v>
      </c>
      <c r="B768">
        <v>219</v>
      </c>
      <c r="C768" t="s">
        <v>158</v>
      </c>
      <c r="D768" t="s">
        <v>156</v>
      </c>
      <c r="E768">
        <v>480000</v>
      </c>
      <c r="H768">
        <v>210</v>
      </c>
    </row>
    <row r="769" spans="1:8" x14ac:dyDescent="0.25">
      <c r="A769" t="s">
        <v>167</v>
      </c>
      <c r="B769">
        <v>219</v>
      </c>
      <c r="C769" t="s">
        <v>159</v>
      </c>
      <c r="D769" t="s">
        <v>156</v>
      </c>
      <c r="E769">
        <v>148000</v>
      </c>
      <c r="H769">
        <v>1824091</v>
      </c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7"/>
  <dimension ref="A1:L279"/>
  <sheetViews>
    <sheetView zoomScale="170" zoomScaleNormal="17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8.85546875" style="33"/>
    <col min="3" max="3" width="27.140625" style="33" bestFit="1" customWidth="1"/>
    <col min="4" max="8" width="8.85546875" style="33"/>
    <col min="9" max="9" width="11" style="33" bestFit="1" customWidth="1"/>
    <col min="10" max="16384" width="8.85546875" style="33"/>
  </cols>
  <sheetData>
    <row r="1" spans="1:12" ht="25.5" x14ac:dyDescent="0.35">
      <c r="A1" s="52" t="s">
        <v>97</v>
      </c>
      <c r="D1" s="33">
        <v>11</v>
      </c>
      <c r="F1" s="33">
        <f>SUM(F4:F501)</f>
        <v>0</v>
      </c>
      <c r="G1" s="33">
        <f>SUM(G4:G1048576)</f>
        <v>0</v>
      </c>
      <c r="H1" s="33">
        <f>F1-G1</f>
        <v>0</v>
      </c>
      <c r="L1" s="33" t="s">
        <v>100</v>
      </c>
    </row>
    <row r="3" spans="1:12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3" t="s">
        <v>25</v>
      </c>
      <c r="H3" s="33" t="s">
        <v>6</v>
      </c>
    </row>
    <row r="6" spans="1:12" x14ac:dyDescent="0.25">
      <c r="A6" s="35"/>
    </row>
    <row r="7" spans="1:12" x14ac:dyDescent="0.25">
      <c r="A7" s="35"/>
    </row>
    <row r="8" spans="1:12" x14ac:dyDescent="0.25">
      <c r="A8" s="35"/>
    </row>
    <row r="9" spans="1:12" x14ac:dyDescent="0.25">
      <c r="A9" s="35"/>
    </row>
    <row r="10" spans="1:12" x14ac:dyDescent="0.25">
      <c r="A10" s="35"/>
    </row>
    <row r="11" spans="1:12" x14ac:dyDescent="0.25">
      <c r="A11" s="35"/>
    </row>
    <row r="12" spans="1:12" x14ac:dyDescent="0.25">
      <c r="A12" s="35"/>
    </row>
    <row r="13" spans="1:12" x14ac:dyDescent="0.25">
      <c r="A13" s="35"/>
    </row>
    <row r="14" spans="1:12" x14ac:dyDescent="0.25">
      <c r="A14" s="35"/>
    </row>
    <row r="15" spans="1:12" x14ac:dyDescent="0.25">
      <c r="A15" s="35"/>
    </row>
    <row r="16" spans="1:12" x14ac:dyDescent="0.25">
      <c r="A16" s="35"/>
    </row>
    <row r="17" spans="1:1" x14ac:dyDescent="0.25">
      <c r="A17" s="35"/>
    </row>
    <row r="18" spans="1:1" x14ac:dyDescent="0.25">
      <c r="A18" s="35"/>
    </row>
    <row r="19" spans="1:1" ht="19.899999999999999" customHeight="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7" x14ac:dyDescent="0.25">
      <c r="A33" s="35"/>
    </row>
    <row r="34" spans="1:7" x14ac:dyDescent="0.25">
      <c r="A34" s="35"/>
    </row>
    <row r="35" spans="1:7" x14ac:dyDescent="0.25">
      <c r="A35" s="35"/>
    </row>
    <row r="36" spans="1:7" x14ac:dyDescent="0.25">
      <c r="A36" s="35"/>
    </row>
    <row r="37" spans="1:7" x14ac:dyDescent="0.25">
      <c r="A37" s="35"/>
    </row>
    <row r="38" spans="1:7" x14ac:dyDescent="0.25">
      <c r="A38" s="35"/>
      <c r="F38" s="34"/>
      <c r="G38" s="34"/>
    </row>
    <row r="39" spans="1:7" x14ac:dyDescent="0.25">
      <c r="A39" s="35"/>
    </row>
    <row r="40" spans="1:7" x14ac:dyDescent="0.25">
      <c r="A40" s="35"/>
    </row>
    <row r="41" spans="1:7" x14ac:dyDescent="0.25">
      <c r="A41" s="35"/>
    </row>
    <row r="42" spans="1:7" x14ac:dyDescent="0.25">
      <c r="A42" s="35"/>
    </row>
    <row r="43" spans="1:7" x14ac:dyDescent="0.25">
      <c r="A43" s="35"/>
    </row>
    <row r="44" spans="1:7" x14ac:dyDescent="0.25">
      <c r="A44" s="35"/>
    </row>
    <row r="45" spans="1:7" x14ac:dyDescent="0.25">
      <c r="A45" s="35"/>
    </row>
    <row r="46" spans="1:7" x14ac:dyDescent="0.25">
      <c r="A46" s="35"/>
    </row>
    <row r="47" spans="1:7" x14ac:dyDescent="0.25">
      <c r="A47" s="35"/>
    </row>
    <row r="48" spans="1:7" x14ac:dyDescent="0.25">
      <c r="A48" s="35"/>
    </row>
    <row r="49" spans="1:7" x14ac:dyDescent="0.25">
      <c r="A49" s="35"/>
    </row>
    <row r="50" spans="1:7" x14ac:dyDescent="0.25">
      <c r="A50" s="35"/>
    </row>
    <row r="51" spans="1:7" x14ac:dyDescent="0.25">
      <c r="A51" s="35"/>
    </row>
    <row r="52" spans="1:7" x14ac:dyDescent="0.25">
      <c r="A52" s="35"/>
    </row>
    <row r="53" spans="1:7" x14ac:dyDescent="0.25">
      <c r="A53" s="35"/>
    </row>
    <row r="54" spans="1:7" x14ac:dyDescent="0.25">
      <c r="A54" s="35"/>
    </row>
    <row r="55" spans="1:7" x14ac:dyDescent="0.25">
      <c r="A55" s="35"/>
    </row>
    <row r="56" spans="1:7" x14ac:dyDescent="0.25">
      <c r="A56" s="35"/>
    </row>
    <row r="57" spans="1:7" x14ac:dyDescent="0.25">
      <c r="A57" s="35"/>
    </row>
    <row r="58" spans="1:7" x14ac:dyDescent="0.25">
      <c r="A58" s="35"/>
      <c r="F58" s="34"/>
      <c r="G58" s="34"/>
    </row>
    <row r="59" spans="1:7" x14ac:dyDescent="0.25">
      <c r="A59" s="35"/>
      <c r="F59" s="34"/>
      <c r="G59" s="34"/>
    </row>
    <row r="60" spans="1:7" x14ac:dyDescent="0.25">
      <c r="A60" s="35"/>
      <c r="F60" s="34"/>
      <c r="G60" s="34"/>
    </row>
    <row r="61" spans="1:7" x14ac:dyDescent="0.25">
      <c r="A61" s="35"/>
      <c r="F61" s="34"/>
    </row>
    <row r="62" spans="1:7" x14ac:dyDescent="0.25">
      <c r="A62" s="35"/>
      <c r="F62" s="34"/>
    </row>
    <row r="63" spans="1:7" x14ac:dyDescent="0.25">
      <c r="A63" s="35"/>
      <c r="F63" s="34"/>
    </row>
    <row r="64" spans="1:7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</sheetData>
  <phoneticPr fontId="21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0"/>
  <dimension ref="A1:N514"/>
  <sheetViews>
    <sheetView zoomScale="180" zoomScaleNormal="180" workbookViewId="0">
      <selection activeCell="A6" sqref="A6"/>
    </sheetView>
  </sheetViews>
  <sheetFormatPr defaultColWidth="8.85546875" defaultRowHeight="15" x14ac:dyDescent="0.25"/>
  <cols>
    <col min="1" max="1" width="11.7109375" style="33" customWidth="1"/>
    <col min="2" max="2" width="8.85546875" style="33"/>
    <col min="3" max="3" width="27.42578125" style="33" bestFit="1" customWidth="1"/>
    <col min="4" max="5" width="12.42578125" style="33" customWidth="1"/>
    <col min="6" max="6" width="10.5703125" style="33" bestFit="1" customWidth="1"/>
    <col min="7" max="7" width="10.42578125" style="34" bestFit="1" customWidth="1"/>
    <col min="8" max="8" width="11.7109375" style="34" bestFit="1" customWidth="1"/>
    <col min="9" max="9" width="12" style="33" bestFit="1" customWidth="1"/>
    <col min="10" max="10" width="13.85546875" style="33" customWidth="1"/>
    <col min="11" max="16384" width="8.85546875" style="33"/>
  </cols>
  <sheetData>
    <row r="1" spans="1:8" ht="25.5" x14ac:dyDescent="0.35">
      <c r="A1" s="52" t="s">
        <v>185</v>
      </c>
      <c r="C1" s="40"/>
      <c r="D1" s="33">
        <v>29</v>
      </c>
      <c r="F1" s="33">
        <f>SUM(F4:F500)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</row>
    <row r="23" spans="1:6" x14ac:dyDescent="0.25">
      <c r="A23" s="35"/>
    </row>
    <row r="24" spans="1:6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  <c r="F27" s="34"/>
    </row>
    <row r="28" spans="1:6" x14ac:dyDescent="0.25">
      <c r="A28" s="35"/>
      <c r="F28" s="34"/>
    </row>
    <row r="29" spans="1:6" x14ac:dyDescent="0.25">
      <c r="A29" s="35"/>
      <c r="F29" s="34"/>
    </row>
    <row r="30" spans="1:6" x14ac:dyDescent="0.25">
      <c r="A30" s="35"/>
      <c r="F30" s="34"/>
    </row>
    <row r="31" spans="1:6" x14ac:dyDescent="0.25">
      <c r="A31" s="35"/>
      <c r="F31" s="34"/>
    </row>
    <row r="32" spans="1:6" x14ac:dyDescent="0.25">
      <c r="A32" s="35"/>
      <c r="F32" s="34"/>
    </row>
    <row r="33" spans="1:6" x14ac:dyDescent="0.25">
      <c r="A33" s="35"/>
      <c r="F33" s="34"/>
    </row>
    <row r="34" spans="1:6" x14ac:dyDescent="0.25">
      <c r="A34" s="35"/>
      <c r="F34" s="34"/>
    </row>
    <row r="35" spans="1:6" x14ac:dyDescent="0.25">
      <c r="A35" s="35"/>
      <c r="F35" s="34"/>
    </row>
    <row r="36" spans="1:6" x14ac:dyDescent="0.25">
      <c r="A36" s="35"/>
      <c r="F36" s="34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  <row r="302" spans="1:6" x14ac:dyDescent="0.25">
      <c r="A302" s="35"/>
      <c r="F302" s="34"/>
    </row>
    <row r="303" spans="1:6" x14ac:dyDescent="0.25">
      <c r="A303" s="35"/>
      <c r="F303" s="34"/>
    </row>
    <row r="304" spans="1:6" x14ac:dyDescent="0.25">
      <c r="A304" s="35"/>
      <c r="F304" s="34"/>
    </row>
    <row r="305" spans="1:6" x14ac:dyDescent="0.25">
      <c r="A305" s="35"/>
      <c r="F305" s="34"/>
    </row>
    <row r="306" spans="1:6" x14ac:dyDescent="0.25">
      <c r="A306" s="35"/>
      <c r="F306" s="34"/>
    </row>
    <row r="307" spans="1:6" x14ac:dyDescent="0.25">
      <c r="A307" s="35"/>
      <c r="F307" s="34"/>
    </row>
    <row r="308" spans="1:6" x14ac:dyDescent="0.25">
      <c r="A308" s="35"/>
      <c r="F308" s="34"/>
    </row>
    <row r="309" spans="1:6" x14ac:dyDescent="0.25">
      <c r="A309" s="35"/>
      <c r="F309" s="34"/>
    </row>
    <row r="310" spans="1:6" x14ac:dyDescent="0.25">
      <c r="A310" s="35"/>
      <c r="F310" s="34"/>
    </row>
    <row r="311" spans="1:6" x14ac:dyDescent="0.25">
      <c r="A311" s="35"/>
      <c r="F311" s="34"/>
    </row>
    <row r="312" spans="1:6" x14ac:dyDescent="0.25">
      <c r="A312" s="35"/>
      <c r="F312" s="34"/>
    </row>
    <row r="313" spans="1:6" x14ac:dyDescent="0.25">
      <c r="A313" s="35"/>
      <c r="F313" s="34"/>
    </row>
    <row r="314" spans="1:6" x14ac:dyDescent="0.25">
      <c r="A314" s="35"/>
      <c r="F314" s="34"/>
    </row>
    <row r="315" spans="1:6" x14ac:dyDescent="0.25">
      <c r="A315" s="35"/>
      <c r="F315" s="34"/>
    </row>
    <row r="316" spans="1:6" x14ac:dyDescent="0.25">
      <c r="A316" s="35"/>
      <c r="F316" s="34"/>
    </row>
    <row r="317" spans="1:6" x14ac:dyDescent="0.25">
      <c r="A317" s="35"/>
      <c r="F317" s="34"/>
    </row>
    <row r="318" spans="1:6" x14ac:dyDescent="0.25">
      <c r="A318" s="35"/>
      <c r="F318" s="34"/>
    </row>
    <row r="319" spans="1:6" x14ac:dyDescent="0.25">
      <c r="A319" s="35"/>
      <c r="F319" s="34"/>
    </row>
    <row r="320" spans="1:6" x14ac:dyDescent="0.25">
      <c r="A320" s="35"/>
      <c r="F320" s="34"/>
    </row>
    <row r="321" spans="1:6" x14ac:dyDescent="0.25">
      <c r="A321" s="35"/>
      <c r="F321" s="34"/>
    </row>
    <row r="322" spans="1:6" x14ac:dyDescent="0.25">
      <c r="A322" s="35"/>
      <c r="F322" s="34"/>
    </row>
    <row r="323" spans="1:6" x14ac:dyDescent="0.25">
      <c r="A323" s="35"/>
      <c r="F323" s="34"/>
    </row>
    <row r="324" spans="1:6" x14ac:dyDescent="0.25">
      <c r="A324" s="35"/>
      <c r="F324" s="34"/>
    </row>
    <row r="325" spans="1:6" x14ac:dyDescent="0.25">
      <c r="A325" s="35"/>
      <c r="F325" s="34"/>
    </row>
    <row r="326" spans="1:6" x14ac:dyDescent="0.25">
      <c r="A326" s="35"/>
      <c r="F326" s="34"/>
    </row>
    <row r="327" spans="1:6" x14ac:dyDescent="0.25">
      <c r="A327" s="35"/>
      <c r="F327" s="34"/>
    </row>
    <row r="328" spans="1:6" x14ac:dyDescent="0.25">
      <c r="A328" s="35"/>
      <c r="F328" s="34"/>
    </row>
    <row r="329" spans="1:6" x14ac:dyDescent="0.25">
      <c r="A329" s="35"/>
      <c r="F329" s="34"/>
    </row>
    <row r="330" spans="1:6" x14ac:dyDescent="0.25">
      <c r="A330" s="35"/>
      <c r="F330" s="34"/>
    </row>
    <row r="331" spans="1:6" x14ac:dyDescent="0.25">
      <c r="A331" s="35"/>
      <c r="F331" s="34"/>
    </row>
    <row r="332" spans="1:6" x14ac:dyDescent="0.25">
      <c r="A332" s="35"/>
      <c r="F332" s="34"/>
    </row>
    <row r="333" spans="1:6" x14ac:dyDescent="0.25">
      <c r="A333" s="35"/>
      <c r="F333" s="34"/>
    </row>
    <row r="334" spans="1:6" x14ac:dyDescent="0.25">
      <c r="A334" s="35"/>
      <c r="F334" s="34"/>
    </row>
    <row r="335" spans="1:6" x14ac:dyDescent="0.25">
      <c r="A335" s="35"/>
      <c r="F335" s="34"/>
    </row>
    <row r="336" spans="1:6" x14ac:dyDescent="0.25">
      <c r="A336" s="35"/>
      <c r="F336" s="34"/>
    </row>
    <row r="337" spans="1:6" x14ac:dyDescent="0.25">
      <c r="A337" s="35"/>
      <c r="F337" s="34"/>
    </row>
    <row r="338" spans="1:6" x14ac:dyDescent="0.25">
      <c r="A338" s="35"/>
      <c r="F338" s="34"/>
    </row>
    <row r="339" spans="1:6" x14ac:dyDescent="0.25">
      <c r="A339" s="35"/>
      <c r="F339" s="34"/>
    </row>
    <row r="340" spans="1:6" x14ac:dyDescent="0.25">
      <c r="A340" s="35"/>
      <c r="F340" s="34"/>
    </row>
    <row r="341" spans="1:6" x14ac:dyDescent="0.25">
      <c r="A341" s="35"/>
      <c r="F341" s="34"/>
    </row>
    <row r="342" spans="1:6" x14ac:dyDescent="0.25">
      <c r="A342" s="35"/>
      <c r="F342" s="34"/>
    </row>
    <row r="343" spans="1:6" x14ac:dyDescent="0.25">
      <c r="A343" s="35"/>
      <c r="F343" s="34"/>
    </row>
    <row r="344" spans="1:6" x14ac:dyDescent="0.25">
      <c r="A344" s="35"/>
      <c r="F344" s="34"/>
    </row>
    <row r="345" spans="1:6" x14ac:dyDescent="0.25">
      <c r="A345" s="35"/>
      <c r="F345" s="34"/>
    </row>
    <row r="346" spans="1:6" x14ac:dyDescent="0.25">
      <c r="A346" s="35"/>
      <c r="F346" s="34"/>
    </row>
    <row r="347" spans="1:6" x14ac:dyDescent="0.25">
      <c r="A347" s="35"/>
      <c r="F347" s="34"/>
    </row>
    <row r="348" spans="1:6" x14ac:dyDescent="0.25">
      <c r="A348" s="35"/>
      <c r="F348" s="34"/>
    </row>
    <row r="349" spans="1:6" x14ac:dyDescent="0.25">
      <c r="A349" s="35"/>
      <c r="F349" s="34"/>
    </row>
    <row r="350" spans="1:6" x14ac:dyDescent="0.25">
      <c r="A350" s="35"/>
      <c r="F350" s="34"/>
    </row>
    <row r="351" spans="1:6" x14ac:dyDescent="0.25">
      <c r="A351" s="35"/>
      <c r="F351" s="34"/>
    </row>
    <row r="352" spans="1:6" x14ac:dyDescent="0.25">
      <c r="A352" s="35"/>
      <c r="F352" s="34"/>
    </row>
    <row r="353" spans="1:6" x14ac:dyDescent="0.25">
      <c r="A353" s="35"/>
      <c r="F353" s="34"/>
    </row>
    <row r="354" spans="1:6" x14ac:dyDescent="0.25">
      <c r="A354" s="35"/>
      <c r="F354" s="34"/>
    </row>
    <row r="355" spans="1:6" x14ac:dyDescent="0.25">
      <c r="A355" s="35"/>
      <c r="F355" s="34"/>
    </row>
    <row r="356" spans="1:6" x14ac:dyDescent="0.25">
      <c r="A356" s="35"/>
      <c r="F356" s="34"/>
    </row>
    <row r="357" spans="1:6" x14ac:dyDescent="0.25">
      <c r="A357" s="35"/>
      <c r="F357" s="34"/>
    </row>
    <row r="358" spans="1:6" x14ac:dyDescent="0.25">
      <c r="A358" s="35"/>
      <c r="F358" s="34"/>
    </row>
    <row r="359" spans="1:6" x14ac:dyDescent="0.25">
      <c r="A359" s="35"/>
      <c r="F359" s="34"/>
    </row>
    <row r="360" spans="1:6" x14ac:dyDescent="0.25">
      <c r="A360" s="35"/>
      <c r="F360" s="34"/>
    </row>
    <row r="361" spans="1:6" x14ac:dyDescent="0.25">
      <c r="A361" s="35"/>
      <c r="F361" s="34"/>
    </row>
    <row r="362" spans="1:6" x14ac:dyDescent="0.25">
      <c r="A362" s="35"/>
      <c r="F362" s="34"/>
    </row>
    <row r="363" spans="1:6" x14ac:dyDescent="0.25">
      <c r="A363" s="35"/>
      <c r="F363" s="34"/>
    </row>
    <row r="364" spans="1:6" x14ac:dyDescent="0.25">
      <c r="A364" s="35"/>
      <c r="F364" s="34"/>
    </row>
    <row r="365" spans="1:6" x14ac:dyDescent="0.25">
      <c r="A365" s="35"/>
      <c r="F365" s="34"/>
    </row>
    <row r="366" spans="1:6" x14ac:dyDescent="0.25">
      <c r="A366" s="35"/>
      <c r="F366" s="34"/>
    </row>
    <row r="367" spans="1:6" x14ac:dyDescent="0.25">
      <c r="A367" s="35"/>
      <c r="F367" s="34"/>
    </row>
    <row r="368" spans="1:6" x14ac:dyDescent="0.25">
      <c r="A368" s="35"/>
      <c r="F368" s="34"/>
    </row>
    <row r="369" spans="1:6" x14ac:dyDescent="0.25">
      <c r="A369" s="35"/>
      <c r="F369" s="34"/>
    </row>
    <row r="370" spans="1:6" x14ac:dyDescent="0.25">
      <c r="A370" s="35"/>
      <c r="F370" s="34"/>
    </row>
    <row r="371" spans="1:6" x14ac:dyDescent="0.25">
      <c r="A371" s="35"/>
      <c r="F371" s="34"/>
    </row>
    <row r="372" spans="1:6" x14ac:dyDescent="0.25">
      <c r="A372" s="35"/>
      <c r="F372" s="34"/>
    </row>
    <row r="373" spans="1:6" x14ac:dyDescent="0.25">
      <c r="A373" s="35"/>
      <c r="F373" s="34"/>
    </row>
    <row r="374" spans="1:6" x14ac:dyDescent="0.25">
      <c r="A374" s="35"/>
      <c r="F374" s="34"/>
    </row>
    <row r="375" spans="1:6" x14ac:dyDescent="0.25">
      <c r="A375" s="35"/>
      <c r="F375" s="34"/>
    </row>
    <row r="376" spans="1:6" x14ac:dyDescent="0.25">
      <c r="A376" s="35"/>
      <c r="F376" s="34"/>
    </row>
    <row r="377" spans="1:6" x14ac:dyDescent="0.25">
      <c r="A377" s="35"/>
      <c r="F377" s="34"/>
    </row>
    <row r="378" spans="1:6" x14ac:dyDescent="0.25">
      <c r="A378" s="35"/>
      <c r="F378" s="34"/>
    </row>
    <row r="379" spans="1:6" x14ac:dyDescent="0.25">
      <c r="A379" s="35"/>
      <c r="F379" s="34"/>
    </row>
    <row r="380" spans="1:6" x14ac:dyDescent="0.25">
      <c r="A380" s="35"/>
      <c r="F380" s="34"/>
    </row>
    <row r="381" spans="1:6" x14ac:dyDescent="0.25">
      <c r="A381" s="35"/>
      <c r="F381" s="34"/>
    </row>
    <row r="382" spans="1:6" x14ac:dyDescent="0.25">
      <c r="A382" s="35"/>
      <c r="F382" s="34"/>
    </row>
    <row r="383" spans="1:6" x14ac:dyDescent="0.25">
      <c r="A383" s="35"/>
      <c r="F383" s="34"/>
    </row>
    <row r="384" spans="1:6" x14ac:dyDescent="0.25">
      <c r="A384" s="35"/>
      <c r="F384" s="34"/>
    </row>
    <row r="385" spans="1:6" x14ac:dyDescent="0.25">
      <c r="A385" s="35"/>
      <c r="F385" s="34"/>
    </row>
    <row r="386" spans="1:6" x14ac:dyDescent="0.25">
      <c r="A386" s="35"/>
      <c r="F386" s="34"/>
    </row>
    <row r="387" spans="1:6" x14ac:dyDescent="0.25">
      <c r="A387" s="35"/>
      <c r="F387" s="34"/>
    </row>
    <row r="388" spans="1:6" x14ac:dyDescent="0.25">
      <c r="A388" s="35"/>
      <c r="F388" s="34"/>
    </row>
    <row r="389" spans="1:6" x14ac:dyDescent="0.25">
      <c r="A389" s="35"/>
      <c r="F389" s="34"/>
    </row>
    <row r="390" spans="1:6" x14ac:dyDescent="0.25">
      <c r="A390" s="35"/>
      <c r="F390" s="34"/>
    </row>
    <row r="391" spans="1:6" x14ac:dyDescent="0.25">
      <c r="A391" s="35"/>
      <c r="F391" s="34"/>
    </row>
    <row r="392" spans="1:6" x14ac:dyDescent="0.25">
      <c r="A392" s="35"/>
      <c r="F392" s="34"/>
    </row>
    <row r="393" spans="1:6" x14ac:dyDescent="0.25">
      <c r="A393" s="35"/>
      <c r="F393" s="34"/>
    </row>
    <row r="394" spans="1:6" x14ac:dyDescent="0.25">
      <c r="A394" s="35"/>
      <c r="F394" s="34"/>
    </row>
    <row r="395" spans="1:6" x14ac:dyDescent="0.25">
      <c r="A395" s="35"/>
      <c r="F395" s="34"/>
    </row>
    <row r="396" spans="1:6" x14ac:dyDescent="0.25">
      <c r="A396" s="35"/>
      <c r="F396" s="34"/>
    </row>
    <row r="397" spans="1:6" x14ac:dyDescent="0.25">
      <c r="A397" s="35"/>
      <c r="F397" s="34"/>
    </row>
    <row r="398" spans="1:6" x14ac:dyDescent="0.25">
      <c r="A398" s="35"/>
      <c r="F398" s="34"/>
    </row>
    <row r="399" spans="1:6" x14ac:dyDescent="0.25">
      <c r="A399" s="35"/>
      <c r="F399" s="34"/>
    </row>
    <row r="400" spans="1:6" x14ac:dyDescent="0.25">
      <c r="A400" s="35"/>
      <c r="F400" s="34"/>
    </row>
    <row r="401" spans="1:6" x14ac:dyDescent="0.25">
      <c r="A401" s="35"/>
      <c r="F401" s="34"/>
    </row>
    <row r="402" spans="1:6" x14ac:dyDescent="0.25">
      <c r="A402" s="35"/>
      <c r="F402" s="34"/>
    </row>
    <row r="403" spans="1:6" x14ac:dyDescent="0.25">
      <c r="A403" s="35"/>
      <c r="F403" s="34"/>
    </row>
    <row r="404" spans="1:6" x14ac:dyDescent="0.25">
      <c r="A404" s="35"/>
      <c r="F404" s="34"/>
    </row>
    <row r="405" spans="1:6" x14ac:dyDescent="0.25">
      <c r="A405" s="35"/>
      <c r="F405" s="34"/>
    </row>
    <row r="406" spans="1:6" x14ac:dyDescent="0.25">
      <c r="A406" s="35"/>
      <c r="F406" s="34"/>
    </row>
    <row r="407" spans="1:6" x14ac:dyDescent="0.25">
      <c r="A407" s="35"/>
      <c r="F407" s="34"/>
    </row>
    <row r="408" spans="1:6" x14ac:dyDescent="0.25">
      <c r="A408" s="35"/>
      <c r="F408" s="34"/>
    </row>
    <row r="409" spans="1:6" x14ac:dyDescent="0.25">
      <c r="A409" s="35"/>
      <c r="F409" s="34"/>
    </row>
    <row r="410" spans="1:6" x14ac:dyDescent="0.25">
      <c r="A410" s="35"/>
      <c r="F410" s="34"/>
    </row>
    <row r="411" spans="1:6" x14ac:dyDescent="0.25">
      <c r="A411" s="35"/>
      <c r="F411" s="34"/>
    </row>
    <row r="412" spans="1:6" x14ac:dyDescent="0.25">
      <c r="A412" s="35"/>
      <c r="F412" s="34"/>
    </row>
    <row r="413" spans="1:6" x14ac:dyDescent="0.25">
      <c r="A413" s="35"/>
      <c r="F413" s="34"/>
    </row>
    <row r="414" spans="1:6" x14ac:dyDescent="0.25">
      <c r="A414" s="35"/>
      <c r="F414" s="34"/>
    </row>
    <row r="415" spans="1:6" x14ac:dyDescent="0.25">
      <c r="A415" s="35"/>
      <c r="F415" s="34"/>
    </row>
    <row r="416" spans="1:6" x14ac:dyDescent="0.25">
      <c r="A416" s="35"/>
      <c r="F416" s="34"/>
    </row>
    <row r="417" spans="1:6" x14ac:dyDescent="0.25">
      <c r="A417" s="35"/>
      <c r="F417" s="34"/>
    </row>
    <row r="418" spans="1:6" x14ac:dyDescent="0.25">
      <c r="A418" s="35"/>
      <c r="F418" s="34"/>
    </row>
    <row r="419" spans="1:6" x14ac:dyDescent="0.25">
      <c r="A419" s="35"/>
      <c r="F419" s="34"/>
    </row>
    <row r="420" spans="1:6" x14ac:dyDescent="0.25">
      <c r="A420" s="35"/>
      <c r="F420" s="34"/>
    </row>
    <row r="421" spans="1:6" x14ac:dyDescent="0.25">
      <c r="A421" s="35"/>
      <c r="F421" s="34"/>
    </row>
    <row r="422" spans="1:6" x14ac:dyDescent="0.25">
      <c r="A422" s="35"/>
      <c r="F422" s="34"/>
    </row>
    <row r="423" spans="1:6" x14ac:dyDescent="0.25">
      <c r="A423" s="35"/>
      <c r="F423" s="34"/>
    </row>
    <row r="424" spans="1:6" x14ac:dyDescent="0.25">
      <c r="A424" s="35"/>
      <c r="F424" s="34"/>
    </row>
    <row r="425" spans="1:6" x14ac:dyDescent="0.25">
      <c r="A425" s="35"/>
      <c r="F425" s="34"/>
    </row>
    <row r="426" spans="1:6" x14ac:dyDescent="0.25">
      <c r="A426" s="35"/>
      <c r="F426" s="34"/>
    </row>
    <row r="427" spans="1:6" x14ac:dyDescent="0.25">
      <c r="A427" s="35"/>
      <c r="F427" s="34"/>
    </row>
    <row r="428" spans="1:6" x14ac:dyDescent="0.25">
      <c r="A428" s="35"/>
      <c r="F428" s="34"/>
    </row>
    <row r="429" spans="1:6" x14ac:dyDescent="0.25">
      <c r="A429" s="35"/>
      <c r="F429" s="34"/>
    </row>
    <row r="430" spans="1:6" x14ac:dyDescent="0.25">
      <c r="A430" s="35"/>
      <c r="F430" s="34"/>
    </row>
    <row r="431" spans="1:6" x14ac:dyDescent="0.25">
      <c r="A431" s="35"/>
      <c r="F431" s="34"/>
    </row>
    <row r="432" spans="1:6" x14ac:dyDescent="0.25">
      <c r="A432" s="35"/>
      <c r="F432" s="34"/>
    </row>
    <row r="433" spans="1:6" x14ac:dyDescent="0.25">
      <c r="A433" s="35"/>
      <c r="F433" s="34"/>
    </row>
    <row r="434" spans="1:6" x14ac:dyDescent="0.25">
      <c r="A434" s="35"/>
      <c r="F434" s="34"/>
    </row>
    <row r="435" spans="1:6" x14ac:dyDescent="0.25">
      <c r="A435" s="35"/>
      <c r="F435" s="34"/>
    </row>
    <row r="436" spans="1:6" x14ac:dyDescent="0.25">
      <c r="A436" s="35"/>
      <c r="F436" s="34"/>
    </row>
    <row r="437" spans="1:6" x14ac:dyDescent="0.25">
      <c r="A437" s="35"/>
      <c r="F437" s="34"/>
    </row>
    <row r="438" spans="1:6" x14ac:dyDescent="0.25">
      <c r="A438" s="35"/>
      <c r="F438" s="34"/>
    </row>
    <row r="439" spans="1:6" x14ac:dyDescent="0.25">
      <c r="A439" s="35"/>
      <c r="F439" s="34"/>
    </row>
    <row r="440" spans="1:6" x14ac:dyDescent="0.25">
      <c r="A440" s="35"/>
      <c r="F440" s="34"/>
    </row>
    <row r="441" spans="1:6" x14ac:dyDescent="0.25">
      <c r="A441" s="35"/>
      <c r="F441" s="34"/>
    </row>
    <row r="442" spans="1:6" x14ac:dyDescent="0.25">
      <c r="A442" s="35"/>
      <c r="F442" s="34"/>
    </row>
    <row r="443" spans="1:6" x14ac:dyDescent="0.25">
      <c r="A443" s="35"/>
      <c r="F443" s="34"/>
    </row>
    <row r="444" spans="1:6" x14ac:dyDescent="0.25">
      <c r="A444" s="35"/>
      <c r="F444" s="34"/>
    </row>
    <row r="445" spans="1:6" x14ac:dyDescent="0.25">
      <c r="A445" s="35"/>
      <c r="F445" s="34"/>
    </row>
    <row r="446" spans="1:6" x14ac:dyDescent="0.25">
      <c r="A446" s="35"/>
      <c r="F446" s="34"/>
    </row>
    <row r="447" spans="1:6" x14ac:dyDescent="0.25">
      <c r="A447" s="35"/>
      <c r="F447" s="34"/>
    </row>
    <row r="448" spans="1:6" x14ac:dyDescent="0.25">
      <c r="A448" s="35"/>
      <c r="F448" s="34"/>
    </row>
    <row r="449" spans="1:6" x14ac:dyDescent="0.25">
      <c r="A449" s="35"/>
      <c r="F449" s="34"/>
    </row>
    <row r="450" spans="1:6" x14ac:dyDescent="0.25">
      <c r="A450" s="35"/>
      <c r="F450" s="34"/>
    </row>
    <row r="451" spans="1:6" x14ac:dyDescent="0.25">
      <c r="A451" s="35"/>
      <c r="F451" s="34"/>
    </row>
    <row r="452" spans="1:6" x14ac:dyDescent="0.25">
      <c r="A452" s="35"/>
      <c r="F452" s="34"/>
    </row>
    <row r="453" spans="1:6" x14ac:dyDescent="0.25">
      <c r="A453" s="35"/>
      <c r="F453" s="34"/>
    </row>
    <row r="454" spans="1:6" x14ac:dyDescent="0.25">
      <c r="A454" s="35"/>
      <c r="F454" s="34"/>
    </row>
    <row r="455" spans="1:6" x14ac:dyDescent="0.25">
      <c r="A455" s="35"/>
      <c r="F455" s="34"/>
    </row>
    <row r="456" spans="1:6" x14ac:dyDescent="0.25">
      <c r="A456" s="35"/>
      <c r="F456" s="34"/>
    </row>
    <row r="457" spans="1:6" x14ac:dyDescent="0.25">
      <c r="A457" s="35"/>
      <c r="F457" s="34"/>
    </row>
    <row r="458" spans="1:6" x14ac:dyDescent="0.25">
      <c r="A458" s="35"/>
      <c r="F458" s="34"/>
    </row>
    <row r="459" spans="1:6" x14ac:dyDescent="0.25">
      <c r="A459" s="35"/>
      <c r="F459" s="34"/>
    </row>
    <row r="460" spans="1:6" x14ac:dyDescent="0.25">
      <c r="A460" s="35"/>
      <c r="F460" s="34"/>
    </row>
    <row r="461" spans="1:6" x14ac:dyDescent="0.25">
      <c r="A461" s="35"/>
      <c r="F461" s="34"/>
    </row>
    <row r="462" spans="1:6" x14ac:dyDescent="0.25">
      <c r="A462" s="35"/>
      <c r="F462" s="34"/>
    </row>
    <row r="463" spans="1:6" x14ac:dyDescent="0.25">
      <c r="A463" s="35"/>
      <c r="F463" s="34"/>
    </row>
    <row r="464" spans="1:6" x14ac:dyDescent="0.25">
      <c r="A464" s="35"/>
      <c r="F464" s="34"/>
    </row>
    <row r="465" spans="1:6" x14ac:dyDescent="0.25">
      <c r="A465" s="35"/>
      <c r="F465" s="34"/>
    </row>
    <row r="466" spans="1:6" x14ac:dyDescent="0.25">
      <c r="A466" s="35"/>
      <c r="F466" s="34"/>
    </row>
    <row r="467" spans="1:6" x14ac:dyDescent="0.25">
      <c r="A467" s="35"/>
      <c r="F467" s="34"/>
    </row>
    <row r="468" spans="1:6" x14ac:dyDescent="0.25">
      <c r="A468" s="35"/>
      <c r="F468" s="34"/>
    </row>
    <row r="469" spans="1:6" x14ac:dyDescent="0.25">
      <c r="A469" s="35"/>
      <c r="F469" s="34"/>
    </row>
    <row r="470" spans="1:6" x14ac:dyDescent="0.25">
      <c r="A470" s="35"/>
      <c r="F470" s="34"/>
    </row>
    <row r="471" spans="1:6" x14ac:dyDescent="0.25">
      <c r="A471" s="35"/>
      <c r="F471" s="34"/>
    </row>
    <row r="472" spans="1:6" x14ac:dyDescent="0.25">
      <c r="A472" s="35"/>
      <c r="F472" s="34"/>
    </row>
    <row r="473" spans="1:6" x14ac:dyDescent="0.25">
      <c r="A473" s="35"/>
      <c r="F473" s="34"/>
    </row>
    <row r="474" spans="1:6" x14ac:dyDescent="0.25">
      <c r="A474" s="35"/>
      <c r="F474" s="34"/>
    </row>
    <row r="475" spans="1:6" x14ac:dyDescent="0.25">
      <c r="A475" s="35"/>
      <c r="F475" s="34"/>
    </row>
    <row r="476" spans="1:6" x14ac:dyDescent="0.25">
      <c r="A476" s="35"/>
      <c r="F476" s="34"/>
    </row>
    <row r="477" spans="1:6" x14ac:dyDescent="0.25">
      <c r="A477" s="35"/>
      <c r="F477" s="34"/>
    </row>
    <row r="478" spans="1:6" x14ac:dyDescent="0.25">
      <c r="A478" s="35"/>
      <c r="F478" s="34"/>
    </row>
    <row r="479" spans="1:6" x14ac:dyDescent="0.25">
      <c r="A479" s="35"/>
      <c r="F479" s="34"/>
    </row>
    <row r="480" spans="1:6" x14ac:dyDescent="0.25">
      <c r="A480" s="35"/>
      <c r="F480" s="34"/>
    </row>
    <row r="481" spans="1:6" x14ac:dyDescent="0.25">
      <c r="A481" s="35"/>
      <c r="F481" s="34"/>
    </row>
    <row r="482" spans="1:6" x14ac:dyDescent="0.25">
      <c r="A482" s="35"/>
      <c r="F482" s="34"/>
    </row>
    <row r="483" spans="1:6" x14ac:dyDescent="0.25">
      <c r="A483" s="35"/>
      <c r="F483" s="34"/>
    </row>
    <row r="484" spans="1:6" x14ac:dyDescent="0.25">
      <c r="A484" s="35"/>
      <c r="F484" s="34"/>
    </row>
    <row r="485" spans="1:6" x14ac:dyDescent="0.25">
      <c r="A485" s="35"/>
      <c r="F485" s="34"/>
    </row>
    <row r="486" spans="1:6" x14ac:dyDescent="0.25">
      <c r="A486" s="35"/>
      <c r="F486" s="34"/>
    </row>
    <row r="487" spans="1:6" x14ac:dyDescent="0.25">
      <c r="A487" s="35"/>
      <c r="F487" s="34"/>
    </row>
    <row r="488" spans="1:6" x14ac:dyDescent="0.25">
      <c r="A488" s="35"/>
      <c r="F488" s="34"/>
    </row>
    <row r="489" spans="1:6" x14ac:dyDescent="0.25">
      <c r="A489" s="35"/>
      <c r="F489" s="34"/>
    </row>
    <row r="490" spans="1:6" x14ac:dyDescent="0.25">
      <c r="A490" s="35"/>
      <c r="F490" s="34"/>
    </row>
    <row r="491" spans="1:6" x14ac:dyDescent="0.25">
      <c r="A491" s="35"/>
      <c r="F491" s="34"/>
    </row>
    <row r="492" spans="1:6" x14ac:dyDescent="0.25">
      <c r="A492" s="35"/>
      <c r="F492" s="34"/>
    </row>
    <row r="493" spans="1:6" x14ac:dyDescent="0.25">
      <c r="A493" s="35"/>
      <c r="F493" s="34"/>
    </row>
    <row r="494" spans="1:6" x14ac:dyDescent="0.25">
      <c r="A494" s="35"/>
      <c r="F494" s="34"/>
    </row>
    <row r="495" spans="1:6" x14ac:dyDescent="0.25">
      <c r="A495" s="35"/>
      <c r="F495" s="34"/>
    </row>
    <row r="496" spans="1:6" x14ac:dyDescent="0.25">
      <c r="A496" s="35"/>
      <c r="F496" s="34"/>
    </row>
    <row r="497" spans="1:6" x14ac:dyDescent="0.25">
      <c r="A497" s="35"/>
      <c r="F497" s="34"/>
    </row>
    <row r="498" spans="1:6" x14ac:dyDescent="0.25">
      <c r="A498" s="35"/>
      <c r="F498" s="34"/>
    </row>
    <row r="499" spans="1:6" x14ac:dyDescent="0.25">
      <c r="A499" s="35"/>
      <c r="F499" s="34"/>
    </row>
    <row r="500" spans="1:6" x14ac:dyDescent="0.25">
      <c r="A500" s="35"/>
      <c r="F500" s="34"/>
    </row>
    <row r="501" spans="1:6" x14ac:dyDescent="0.25">
      <c r="A501" s="35"/>
      <c r="F501" s="34"/>
    </row>
    <row r="502" spans="1:6" x14ac:dyDescent="0.25">
      <c r="A502" s="35"/>
      <c r="F502" s="34"/>
    </row>
    <row r="503" spans="1:6" x14ac:dyDescent="0.25">
      <c r="A503" s="35"/>
      <c r="F503" s="34"/>
    </row>
    <row r="504" spans="1:6" x14ac:dyDescent="0.25">
      <c r="A504" s="35"/>
      <c r="F504" s="34"/>
    </row>
    <row r="505" spans="1:6" x14ac:dyDescent="0.25">
      <c r="A505" s="35"/>
      <c r="F505" s="34"/>
    </row>
    <row r="506" spans="1:6" x14ac:dyDescent="0.25">
      <c r="A506" s="35"/>
      <c r="F506" s="34"/>
    </row>
    <row r="514" spans="14:14" x14ac:dyDescent="0.25">
      <c r="N514" s="33" t="s">
        <v>131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1"/>
  <dimension ref="A1:G33"/>
  <sheetViews>
    <sheetView workbookViewId="0">
      <selection activeCell="A33" sqref="A33"/>
    </sheetView>
  </sheetViews>
  <sheetFormatPr defaultRowHeight="15" x14ac:dyDescent="0.25"/>
  <cols>
    <col min="1" max="1" width="16.140625" bestFit="1" customWidth="1"/>
    <col min="2" max="2" width="10.7109375" customWidth="1"/>
    <col min="3" max="3" width="18.85546875" customWidth="1"/>
    <col min="4" max="4" width="11.5703125" customWidth="1"/>
    <col min="5" max="5" width="12.85546875" customWidth="1"/>
    <col min="6" max="6" width="10.28515625" customWidth="1"/>
    <col min="7" max="7" width="13" customWidth="1"/>
    <col min="8" max="8" width="12" bestFit="1" customWidth="1"/>
  </cols>
  <sheetData>
    <row r="1" spans="1:7" ht="26.25" x14ac:dyDescent="0.4">
      <c r="A1" s="15" t="s">
        <v>105</v>
      </c>
      <c r="C1">
        <v>27</v>
      </c>
      <c r="E1">
        <f>SUM(E4:E500)</f>
        <v>0</v>
      </c>
      <c r="F1">
        <f>SUM(F4:F1048576)</f>
        <v>0</v>
      </c>
      <c r="G1">
        <f>E1-F1</f>
        <v>0</v>
      </c>
    </row>
    <row r="2" spans="1:7" x14ac:dyDescent="0.25">
      <c r="A2" t="s">
        <v>21</v>
      </c>
      <c r="B2" t="s">
        <v>32</v>
      </c>
      <c r="C2" t="s">
        <v>26</v>
      </c>
      <c r="D2" t="s">
        <v>3</v>
      </c>
      <c r="E2" t="s">
        <v>24</v>
      </c>
      <c r="F2" t="s">
        <v>25</v>
      </c>
      <c r="G2" t="s">
        <v>6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2"/>
  <dimension ref="A1:I28"/>
  <sheetViews>
    <sheetView zoomScale="180" zoomScaleNormal="180" workbookViewId="0">
      <selection activeCell="C33" sqref="C33"/>
    </sheetView>
  </sheetViews>
  <sheetFormatPr defaultColWidth="8.85546875" defaultRowHeight="15" x14ac:dyDescent="0.25"/>
  <cols>
    <col min="1" max="1" width="11.7109375" style="33" customWidth="1"/>
    <col min="2" max="2" width="11" style="33" customWidth="1"/>
    <col min="3" max="3" width="21.85546875" style="33" bestFit="1" customWidth="1"/>
    <col min="4" max="4" width="8.85546875" style="33" customWidth="1"/>
    <col min="5" max="5" width="6.7109375" style="33" customWidth="1"/>
    <col min="6" max="6" width="10.42578125" style="34" bestFit="1" customWidth="1"/>
    <col min="7" max="7" width="10.28515625" style="34" bestFit="1" customWidth="1"/>
    <col min="8" max="8" width="9.85546875" style="34" bestFit="1" customWidth="1"/>
    <col min="9" max="9" width="12" style="33" bestFit="1" customWidth="1"/>
    <col min="10" max="16384" width="8.85546875" style="33"/>
  </cols>
  <sheetData>
    <row r="1" spans="1:9" ht="35.25" x14ac:dyDescent="0.5">
      <c r="A1" s="31" t="s">
        <v>35</v>
      </c>
      <c r="B1" s="31"/>
      <c r="D1" s="33">
        <v>1</v>
      </c>
      <c r="F1" s="34">
        <f>SUM(F4:F500)</f>
        <v>0</v>
      </c>
      <c r="G1" s="34">
        <f>SUM(G4:G1048576)</f>
        <v>0</v>
      </c>
      <c r="H1" s="34">
        <f>F1-G1</f>
        <v>0</v>
      </c>
    </row>
    <row r="3" spans="1:9" x14ac:dyDescent="0.25">
      <c r="A3" s="33" t="s">
        <v>21</v>
      </c>
      <c r="B3" s="33" t="s">
        <v>38</v>
      </c>
      <c r="C3" s="33" t="s">
        <v>51</v>
      </c>
      <c r="D3" s="33" t="s">
        <v>3</v>
      </c>
      <c r="E3" s="33" t="s">
        <v>193</v>
      </c>
      <c r="F3" s="34" t="s">
        <v>24</v>
      </c>
      <c r="G3" s="34" t="s">
        <v>25</v>
      </c>
      <c r="H3" s="34" t="s">
        <v>6</v>
      </c>
    </row>
    <row r="5" spans="1:9" x14ac:dyDescent="0.25">
      <c r="A5" s="35"/>
    </row>
    <row r="6" spans="1:9" x14ac:dyDescent="0.25">
      <c r="A6" s="35"/>
      <c r="I6" s="33" t="s">
        <v>197</v>
      </c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  <c r="I15" s="33" t="s">
        <v>197</v>
      </c>
    </row>
    <row r="16" spans="1:9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3"/>
  <dimension ref="A1:I769"/>
  <sheetViews>
    <sheetView zoomScale="170" zoomScaleNormal="170" workbookViewId="0">
      <selection activeCell="A5" sqref="A5"/>
    </sheetView>
  </sheetViews>
  <sheetFormatPr defaultColWidth="8.85546875" defaultRowHeight="15" x14ac:dyDescent="0.25"/>
  <cols>
    <col min="1" max="1" width="11.5703125" style="33" customWidth="1"/>
    <col min="2" max="2" width="8.85546875" style="33"/>
    <col min="3" max="3" width="25.42578125" style="33" bestFit="1" customWidth="1"/>
    <col min="4" max="6" width="8.85546875" style="33"/>
    <col min="7" max="7" width="10.42578125" style="34" bestFit="1" customWidth="1"/>
    <col min="8" max="8" width="11.7109375" style="34" bestFit="1" customWidth="1"/>
    <col min="9" max="9" width="12" style="33" bestFit="1" customWidth="1"/>
    <col min="10" max="16384" width="8.85546875" style="33"/>
  </cols>
  <sheetData>
    <row r="1" spans="1:9" ht="25.5" x14ac:dyDescent="0.35">
      <c r="A1" s="52" t="s">
        <v>112</v>
      </c>
      <c r="D1" s="33">
        <v>23</v>
      </c>
      <c r="F1" s="33">
        <f>SUM(F4:F500)</f>
        <v>0</v>
      </c>
      <c r="G1" s="34">
        <f>SUM(G4:G1048576)</f>
        <v>0</v>
      </c>
      <c r="H1" s="34">
        <f>F1-G1</f>
        <v>0</v>
      </c>
    </row>
    <row r="2" spans="1:9" x14ac:dyDescent="0.25">
      <c r="A2" s="33" t="s">
        <v>21</v>
      </c>
      <c r="B2" s="33" t="s">
        <v>38</v>
      </c>
      <c r="C2" s="33" t="s">
        <v>26</v>
      </c>
      <c r="D2" s="33" t="s">
        <v>3</v>
      </c>
      <c r="E2" s="33" t="s">
        <v>193</v>
      </c>
      <c r="F2" s="33" t="s">
        <v>24</v>
      </c>
      <c r="G2" s="34" t="s">
        <v>25</v>
      </c>
      <c r="H2" s="34" t="s">
        <v>6</v>
      </c>
    </row>
    <row r="5" spans="1:9" x14ac:dyDescent="0.25">
      <c r="A5" s="35"/>
      <c r="I5" s="33" t="s">
        <v>197</v>
      </c>
    </row>
    <row r="6" spans="1:9" ht="17.25" customHeight="1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  <c r="I10" s="33" t="s">
        <v>197</v>
      </c>
    </row>
    <row r="11" spans="1:9" x14ac:dyDescent="0.25">
      <c r="A11" s="35"/>
    </row>
    <row r="12" spans="1:9" x14ac:dyDescent="0.25">
      <c r="A12" s="35"/>
    </row>
    <row r="13" spans="1:9" x14ac:dyDescent="0.25">
      <c r="A13" s="35"/>
      <c r="I13" s="33" t="s">
        <v>197</v>
      </c>
    </row>
    <row r="14" spans="1:9" x14ac:dyDescent="0.25">
      <c r="A14" s="35"/>
    </row>
    <row r="15" spans="1:9" x14ac:dyDescent="0.25">
      <c r="A15" s="35"/>
    </row>
    <row r="16" spans="1:9" x14ac:dyDescent="0.25">
      <c r="A16" s="35"/>
      <c r="I16" s="33" t="s">
        <v>197</v>
      </c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  <c r="F22" s="34"/>
    </row>
    <row r="23" spans="1:6" x14ac:dyDescent="0.25">
      <c r="A23" s="35"/>
      <c r="F23" s="34"/>
    </row>
    <row r="24" spans="1:6" x14ac:dyDescent="0.25">
      <c r="A24" s="35"/>
      <c r="F24" s="34"/>
    </row>
    <row r="25" spans="1:6" x14ac:dyDescent="0.25">
      <c r="A25" s="35"/>
      <c r="F25" s="34"/>
    </row>
    <row r="26" spans="1:6" x14ac:dyDescent="0.25">
      <c r="A26" s="35"/>
      <c r="F26" s="34"/>
    </row>
    <row r="27" spans="1:6" ht="18.600000000000001" customHeight="1" x14ac:dyDescent="0.25">
      <c r="A27" s="35"/>
      <c r="F27" s="34"/>
    </row>
    <row r="28" spans="1:6" x14ac:dyDescent="0.25">
      <c r="A28" s="35"/>
      <c r="F28" s="34"/>
    </row>
    <row r="43" ht="18" customHeight="1" x14ac:dyDescent="0.25"/>
    <row r="766" spans="1:9" x14ac:dyDescent="0.25">
      <c r="D766" s="33" t="s">
        <v>163</v>
      </c>
      <c r="F766" s="33">
        <v>400000</v>
      </c>
      <c r="I766" s="33">
        <v>24439903</v>
      </c>
    </row>
    <row r="767" spans="1:9" x14ac:dyDescent="0.25">
      <c r="A767" s="33" t="s">
        <v>167</v>
      </c>
      <c r="B767" s="33">
        <v>219</v>
      </c>
      <c r="C767" s="33" t="s">
        <v>158</v>
      </c>
      <c r="D767" s="33" t="s">
        <v>156</v>
      </c>
      <c r="F767" s="33">
        <v>167900</v>
      </c>
      <c r="I767" s="33">
        <v>38.799999999999997</v>
      </c>
    </row>
    <row r="768" spans="1:9" x14ac:dyDescent="0.25">
      <c r="A768" s="33" t="s">
        <v>167</v>
      </c>
      <c r="B768" s="33">
        <v>219</v>
      </c>
      <c r="C768" s="33" t="s">
        <v>158</v>
      </c>
      <c r="D768" s="33" t="s">
        <v>156</v>
      </c>
      <c r="F768" s="33">
        <v>480000</v>
      </c>
      <c r="I768" s="33">
        <v>210</v>
      </c>
    </row>
    <row r="769" spans="1:9" x14ac:dyDescent="0.25">
      <c r="A769" s="33" t="s">
        <v>167</v>
      </c>
      <c r="B769" s="33">
        <v>219</v>
      </c>
      <c r="C769" s="33" t="s">
        <v>159</v>
      </c>
      <c r="D769" s="33" t="s">
        <v>156</v>
      </c>
      <c r="F769" s="33">
        <v>148000</v>
      </c>
      <c r="I769" s="33">
        <v>1824091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/>
  <dimension ref="A1:P1064"/>
  <sheetViews>
    <sheetView workbookViewId="0">
      <selection activeCell="A33" sqref="A33"/>
    </sheetView>
  </sheetViews>
  <sheetFormatPr defaultRowHeight="15" x14ac:dyDescent="0.25"/>
  <cols>
    <col min="1" max="1" width="9.85546875" customWidth="1"/>
    <col min="2" max="2" width="7.42578125" bestFit="1" customWidth="1"/>
    <col min="3" max="3" width="13.7109375" bestFit="1" customWidth="1"/>
    <col min="4" max="4" width="9.42578125" customWidth="1"/>
    <col min="5" max="5" width="14.140625" customWidth="1"/>
    <col min="6" max="6" width="16.28515625" customWidth="1"/>
    <col min="7" max="7" width="13" bestFit="1" customWidth="1"/>
    <col min="8" max="8" width="11.28515625" customWidth="1"/>
    <col min="9" max="9" width="12" bestFit="1" customWidth="1"/>
  </cols>
  <sheetData>
    <row r="1" spans="1:9" ht="23.25" x14ac:dyDescent="0.35">
      <c r="A1" s="16" t="s">
        <v>122</v>
      </c>
      <c r="B1" s="16"/>
      <c r="C1" s="16" t="s">
        <v>140</v>
      </c>
      <c r="D1" s="19"/>
      <c r="E1" s="20">
        <f>SUM(E4:E1011)</f>
        <v>0</v>
      </c>
      <c r="F1" s="20">
        <f>SUM(F4:F1048576)</f>
        <v>0</v>
      </c>
      <c r="G1" s="20">
        <f>E1-F1</f>
        <v>0</v>
      </c>
      <c r="I1">
        <v>25</v>
      </c>
    </row>
    <row r="2" spans="1:9" ht="21" x14ac:dyDescent="0.35">
      <c r="A2" s="2" t="s">
        <v>0</v>
      </c>
      <c r="B2" s="2" t="s">
        <v>1</v>
      </c>
      <c r="C2" s="2" t="s">
        <v>7</v>
      </c>
      <c r="D2" s="2" t="s">
        <v>3</v>
      </c>
      <c r="E2" s="2" t="s">
        <v>11</v>
      </c>
      <c r="F2" s="2" t="s">
        <v>9</v>
      </c>
      <c r="G2" s="2" t="s">
        <v>6</v>
      </c>
    </row>
    <row r="16" spans="1:9" x14ac:dyDescent="0.25">
      <c r="A16" s="5"/>
    </row>
    <row r="17" spans="1:4" x14ac:dyDescent="0.25">
      <c r="A17" s="5"/>
    </row>
    <row r="18" spans="1:4" ht="13.9" customHeight="1" x14ac:dyDescent="0.25"/>
    <row r="20" spans="1:4" x14ac:dyDescent="0.25">
      <c r="D20" s="33"/>
    </row>
    <row r="25" spans="1:4" x14ac:dyDescent="0.25">
      <c r="A25" s="5"/>
    </row>
    <row r="33" spans="1:1" x14ac:dyDescent="0.25">
      <c r="A33" s="33"/>
    </row>
    <row r="34" spans="1:1" ht="18" customHeight="1" x14ac:dyDescent="0.25"/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0" x14ac:dyDescent="0.25">
      <c r="A225" s="5"/>
    </row>
    <row r="226" spans="1:10" x14ac:dyDescent="0.25">
      <c r="A226" s="5"/>
    </row>
    <row r="227" spans="1:10" x14ac:dyDescent="0.25">
      <c r="A227" s="5"/>
    </row>
    <row r="228" spans="1:10" x14ac:dyDescent="0.25">
      <c r="A228" s="5"/>
    </row>
    <row r="229" spans="1:10" x14ac:dyDescent="0.25">
      <c r="A229" s="5"/>
    </row>
    <row r="230" spans="1:10" x14ac:dyDescent="0.25">
      <c r="A230" s="5"/>
    </row>
    <row r="231" spans="1:10" x14ac:dyDescent="0.25">
      <c r="A231" s="5"/>
    </row>
    <row r="232" spans="1:10" s="24" customFormat="1" x14ac:dyDescent="0.25">
      <c r="A232" s="5"/>
      <c r="B232"/>
      <c r="C232"/>
      <c r="D232"/>
      <c r="E232"/>
      <c r="F232"/>
      <c r="G232"/>
      <c r="H232"/>
      <c r="I232"/>
    </row>
    <row r="233" spans="1:10" x14ac:dyDescent="0.25">
      <c r="A233" s="23"/>
      <c r="B233" s="24"/>
      <c r="C233" s="24"/>
      <c r="D233" s="24"/>
      <c r="E233" s="24"/>
      <c r="F233" s="24"/>
      <c r="H233" s="24"/>
      <c r="I233" s="24"/>
    </row>
    <row r="234" spans="1:10" x14ac:dyDescent="0.25">
      <c r="A234" s="5"/>
    </row>
    <row r="235" spans="1:10" x14ac:dyDescent="0.25">
      <c r="A235" s="5"/>
    </row>
    <row r="236" spans="1:10" x14ac:dyDescent="0.25">
      <c r="A236" s="5"/>
    </row>
    <row r="237" spans="1:10" x14ac:dyDescent="0.25">
      <c r="A237" s="5"/>
    </row>
    <row r="238" spans="1:10" x14ac:dyDescent="0.25">
      <c r="A238" s="5"/>
    </row>
    <row r="239" spans="1:10" x14ac:dyDescent="0.25">
      <c r="A239" s="5"/>
    </row>
    <row r="240" spans="1:10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6" x14ac:dyDescent="0.25">
      <c r="A353" s="5"/>
    </row>
    <row r="354" spans="1:16" x14ac:dyDescent="0.25">
      <c r="A354" s="5"/>
    </row>
    <row r="355" spans="1:16" x14ac:dyDescent="0.25">
      <c r="A355" s="5"/>
    </row>
    <row r="356" spans="1:16" x14ac:dyDescent="0.25">
      <c r="A356" s="5"/>
    </row>
    <row r="357" spans="1:16" x14ac:dyDescent="0.25">
      <c r="A357" s="5"/>
    </row>
    <row r="358" spans="1:16" x14ac:dyDescent="0.25">
      <c r="A358" s="5"/>
    </row>
    <row r="359" spans="1:16" ht="16.149999999999999" customHeight="1" x14ac:dyDescent="0.35">
      <c r="A359" s="5"/>
      <c r="N359" s="16"/>
      <c r="O359" s="16"/>
      <c r="P359" s="16"/>
    </row>
    <row r="360" spans="1:16" x14ac:dyDescent="0.25">
      <c r="A360" s="5"/>
    </row>
    <row r="361" spans="1:16" x14ac:dyDescent="0.25">
      <c r="A361" s="5"/>
    </row>
    <row r="362" spans="1:16" x14ac:dyDescent="0.25">
      <c r="A362" s="5"/>
    </row>
    <row r="363" spans="1:16" x14ac:dyDescent="0.25">
      <c r="A363" s="5"/>
    </row>
    <row r="364" spans="1:16" x14ac:dyDescent="0.25">
      <c r="A364" s="5"/>
    </row>
    <row r="365" spans="1:16" x14ac:dyDescent="0.25">
      <c r="A365" s="5"/>
    </row>
    <row r="366" spans="1:16" x14ac:dyDescent="0.25">
      <c r="A366" s="5"/>
    </row>
    <row r="367" spans="1:16" x14ac:dyDescent="0.25">
      <c r="A367" s="5"/>
    </row>
    <row r="368" spans="1:16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4" x14ac:dyDescent="0.25">
      <c r="A385" s="5"/>
    </row>
    <row r="386" spans="1:14" x14ac:dyDescent="0.25">
      <c r="A386" s="5"/>
    </row>
    <row r="387" spans="1:14" x14ac:dyDescent="0.25">
      <c r="A387" s="5"/>
    </row>
    <row r="388" spans="1:14" x14ac:dyDescent="0.25">
      <c r="A388" s="5"/>
    </row>
    <row r="389" spans="1:14" x14ac:dyDescent="0.25">
      <c r="A389" s="5"/>
    </row>
    <row r="390" spans="1:14" x14ac:dyDescent="0.25">
      <c r="A390" s="5"/>
      <c r="N390" t="s">
        <v>178</v>
      </c>
    </row>
    <row r="391" spans="1:14" x14ac:dyDescent="0.25">
      <c r="A391" s="5"/>
    </row>
    <row r="392" spans="1:14" x14ac:dyDescent="0.25">
      <c r="A392" s="5"/>
    </row>
    <row r="393" spans="1:14" x14ac:dyDescent="0.25">
      <c r="A393" s="5"/>
    </row>
    <row r="394" spans="1:14" x14ac:dyDescent="0.25">
      <c r="A394" s="5"/>
    </row>
    <row r="395" spans="1:14" x14ac:dyDescent="0.25">
      <c r="A395" s="5"/>
    </row>
    <row r="396" spans="1:14" x14ac:dyDescent="0.25">
      <c r="A396" s="5"/>
    </row>
    <row r="397" spans="1:14" x14ac:dyDescent="0.25">
      <c r="A397" s="5"/>
    </row>
    <row r="398" spans="1:14" x14ac:dyDescent="0.25">
      <c r="A398" s="5"/>
    </row>
    <row r="399" spans="1:14" x14ac:dyDescent="0.25">
      <c r="A399" s="5"/>
    </row>
    <row r="400" spans="1:14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5" x14ac:dyDescent="0.25">
      <c r="A433" s="5"/>
    </row>
    <row r="434" spans="1:15" x14ac:dyDescent="0.25">
      <c r="A434" s="5"/>
    </row>
    <row r="435" spans="1:15" x14ac:dyDescent="0.25">
      <c r="A435" s="5"/>
    </row>
    <row r="436" spans="1:15" x14ac:dyDescent="0.25">
      <c r="A436" s="5"/>
    </row>
    <row r="437" spans="1:15" x14ac:dyDescent="0.25">
      <c r="A437" s="5"/>
    </row>
    <row r="438" spans="1:15" x14ac:dyDescent="0.25">
      <c r="A438" s="5"/>
    </row>
    <row r="439" spans="1:15" x14ac:dyDescent="0.25">
      <c r="A439" s="5"/>
    </row>
    <row r="440" spans="1:15" x14ac:dyDescent="0.25">
      <c r="A440" s="5"/>
    </row>
    <row r="441" spans="1:15" ht="23.25" x14ac:dyDescent="0.35">
      <c r="A441" s="5"/>
      <c r="M441" s="16"/>
      <c r="N441" s="16"/>
      <c r="O441" s="16"/>
    </row>
    <row r="442" spans="1:15" x14ac:dyDescent="0.25">
      <c r="A442" s="5"/>
    </row>
    <row r="443" spans="1:15" x14ac:dyDescent="0.25">
      <c r="A443" s="5"/>
    </row>
    <row r="444" spans="1:15" x14ac:dyDescent="0.25">
      <c r="A444" s="5"/>
    </row>
    <row r="445" spans="1:15" x14ac:dyDescent="0.25">
      <c r="A445" s="5"/>
    </row>
    <row r="446" spans="1:15" x14ac:dyDescent="0.25">
      <c r="A446" s="5"/>
    </row>
    <row r="447" spans="1:15" x14ac:dyDescent="0.25">
      <c r="A447" s="5"/>
    </row>
    <row r="448" spans="1:15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4" x14ac:dyDescent="0.25">
      <c r="A641" s="5"/>
    </row>
    <row r="642" spans="1:14" x14ac:dyDescent="0.25">
      <c r="A642" s="5"/>
    </row>
    <row r="643" spans="1:14" x14ac:dyDescent="0.25">
      <c r="A643" s="5"/>
    </row>
    <row r="644" spans="1:14" x14ac:dyDescent="0.25">
      <c r="A644" s="5"/>
    </row>
    <row r="645" spans="1:14" x14ac:dyDescent="0.25">
      <c r="A645" s="5"/>
    </row>
    <row r="646" spans="1:14" x14ac:dyDescent="0.25">
      <c r="A646" s="5"/>
    </row>
    <row r="647" spans="1:14" x14ac:dyDescent="0.25">
      <c r="A647" s="5"/>
    </row>
    <row r="648" spans="1:14" x14ac:dyDescent="0.25">
      <c r="A648" s="5"/>
    </row>
    <row r="649" spans="1:14" ht="21" x14ac:dyDescent="0.35">
      <c r="A649" s="5"/>
      <c r="N649" s="2"/>
    </row>
    <row r="650" spans="1:14" x14ac:dyDescent="0.25">
      <c r="A650" s="5"/>
    </row>
    <row r="651" spans="1:14" x14ac:dyDescent="0.25">
      <c r="A651" s="5"/>
    </row>
    <row r="652" spans="1:14" x14ac:dyDescent="0.25">
      <c r="A652" s="5"/>
    </row>
    <row r="653" spans="1:14" x14ac:dyDescent="0.25">
      <c r="A653" s="5"/>
    </row>
    <row r="654" spans="1:14" x14ac:dyDescent="0.25">
      <c r="A654" s="5"/>
    </row>
    <row r="655" spans="1:14" x14ac:dyDescent="0.25">
      <c r="A655" s="5"/>
    </row>
    <row r="656" spans="1:14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4" x14ac:dyDescent="0.25">
      <c r="A689" s="5"/>
    </row>
    <row r="690" spans="1:14" x14ac:dyDescent="0.25">
      <c r="A690" s="5"/>
    </row>
    <row r="691" spans="1:14" x14ac:dyDescent="0.25">
      <c r="A691" s="5"/>
    </row>
    <row r="692" spans="1:14" x14ac:dyDescent="0.25">
      <c r="A692" s="5"/>
    </row>
    <row r="693" spans="1:14" x14ac:dyDescent="0.25">
      <c r="A693" s="5"/>
    </row>
    <row r="694" spans="1:14" x14ac:dyDescent="0.25">
      <c r="A694" s="5"/>
    </row>
    <row r="695" spans="1:14" x14ac:dyDescent="0.25">
      <c r="A695" s="5"/>
    </row>
    <row r="696" spans="1:14" x14ac:dyDescent="0.25">
      <c r="A696" s="5"/>
    </row>
    <row r="697" spans="1:14" x14ac:dyDescent="0.25">
      <c r="A697" s="5"/>
    </row>
    <row r="698" spans="1:14" x14ac:dyDescent="0.25">
      <c r="A698" s="5"/>
      <c r="N698" t="s">
        <v>184</v>
      </c>
    </row>
    <row r="699" spans="1:14" x14ac:dyDescent="0.25">
      <c r="A699" s="5"/>
    </row>
    <row r="700" spans="1:14" x14ac:dyDescent="0.25">
      <c r="A700" s="5"/>
    </row>
    <row r="701" spans="1:14" x14ac:dyDescent="0.25">
      <c r="A701" s="5"/>
    </row>
    <row r="702" spans="1:14" x14ac:dyDescent="0.25">
      <c r="A702" s="5"/>
    </row>
    <row r="703" spans="1:14" x14ac:dyDescent="0.25">
      <c r="A703" s="5"/>
    </row>
    <row r="704" spans="1:14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1" x14ac:dyDescent="0.25">
      <c r="A785" s="5"/>
    </row>
    <row r="786" spans="1:11" x14ac:dyDescent="0.25">
      <c r="A786" s="5"/>
    </row>
    <row r="787" spans="1:11" x14ac:dyDescent="0.25">
      <c r="A787" s="5"/>
    </row>
    <row r="788" spans="1:11" x14ac:dyDescent="0.25">
      <c r="A788" s="5"/>
    </row>
    <row r="789" spans="1:11" x14ac:dyDescent="0.25">
      <c r="A789" s="5"/>
    </row>
    <row r="790" spans="1:11" x14ac:dyDescent="0.25">
      <c r="A790" s="5"/>
      <c r="K790" s="5"/>
    </row>
    <row r="791" spans="1:11" x14ac:dyDescent="0.25">
      <c r="A791" s="5"/>
    </row>
    <row r="792" spans="1:11" x14ac:dyDescent="0.25">
      <c r="A792" s="5"/>
    </row>
    <row r="793" spans="1:11" x14ac:dyDescent="0.25">
      <c r="A793" s="5"/>
      <c r="K793" s="5"/>
    </row>
    <row r="794" spans="1:11" x14ac:dyDescent="0.25">
      <c r="A794" s="5"/>
      <c r="K794" s="5"/>
    </row>
    <row r="795" spans="1:11" x14ac:dyDescent="0.25">
      <c r="A795" s="5"/>
      <c r="K795" s="5"/>
    </row>
    <row r="796" spans="1:11" x14ac:dyDescent="0.25">
      <c r="A796" s="5"/>
      <c r="K796" s="5"/>
    </row>
    <row r="797" spans="1:11" x14ac:dyDescent="0.25">
      <c r="A797" s="5"/>
      <c r="K797" s="5"/>
    </row>
    <row r="798" spans="1:11" x14ac:dyDescent="0.25">
      <c r="A798" s="5"/>
    </row>
    <row r="799" spans="1:11" x14ac:dyDescent="0.25">
      <c r="A799" s="5"/>
    </row>
    <row r="800" spans="1:1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</sheetData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34"/>
  <dimension ref="A1:H30"/>
  <sheetViews>
    <sheetView topLeftCell="A12" zoomScale="170" zoomScaleNormal="170" workbookViewId="0">
      <selection activeCell="I21" sqref="A4:I21"/>
    </sheetView>
  </sheetViews>
  <sheetFormatPr defaultColWidth="8.85546875" defaultRowHeight="15" x14ac:dyDescent="0.25"/>
  <cols>
    <col min="1" max="1" width="10.85546875" style="33" customWidth="1"/>
    <col min="2" max="2" width="9" style="33" bestFit="1" customWidth="1"/>
    <col min="3" max="3" width="20.28515625" style="33" bestFit="1" customWidth="1"/>
    <col min="4" max="6" width="9" style="33" bestFit="1" customWidth="1"/>
    <col min="7" max="7" width="10.42578125" style="34" bestFit="1" customWidth="1"/>
    <col min="8" max="8" width="9.8554687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200</v>
      </c>
      <c r="D1" s="33">
        <v>89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30" spans="1:1" ht="16.899999999999999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J128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9" style="33" bestFit="1" customWidth="1"/>
    <col min="3" max="3" width="25.7109375" style="33" bestFit="1" customWidth="1"/>
    <col min="4" max="6" width="9" style="33" bestFit="1" customWidth="1"/>
    <col min="7" max="7" width="10.42578125" style="34" bestFit="1" customWidth="1"/>
    <col min="8" max="8" width="11.140625" style="34" bestFit="1" customWidth="1"/>
    <col min="9" max="9" width="12" style="33" bestFit="1" customWidth="1"/>
    <col min="10" max="10" width="9" style="33" bestFit="1" customWidth="1"/>
    <col min="11" max="16384" width="8.85546875" style="33"/>
  </cols>
  <sheetData>
    <row r="1" spans="1:10" ht="25.5" x14ac:dyDescent="0.35">
      <c r="A1" s="52" t="s">
        <v>132</v>
      </c>
      <c r="F1" s="33">
        <f>SUM(F4:F503)</f>
        <v>0</v>
      </c>
      <c r="G1" s="34">
        <f>SUM(G4:G1048576)</f>
        <v>0</v>
      </c>
      <c r="H1" s="34">
        <f>F1-G1</f>
        <v>0</v>
      </c>
      <c r="J1" s="33">
        <v>57</v>
      </c>
    </row>
    <row r="3" spans="1:10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  <c r="J3" s="33" t="s">
        <v>76</v>
      </c>
    </row>
    <row r="5" spans="1:10" x14ac:dyDescent="0.25">
      <c r="A5" s="35"/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</row>
    <row r="23" spans="1:6" x14ac:dyDescent="0.25">
      <c r="A23" s="35"/>
    </row>
    <row r="24" spans="1:6" ht="18.75" customHeight="1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  <c r="F27" s="34"/>
    </row>
    <row r="28" spans="1:6" x14ac:dyDescent="0.25">
      <c r="A28" s="35"/>
      <c r="F28" s="34"/>
    </row>
    <row r="29" spans="1:6" x14ac:dyDescent="0.25">
      <c r="A29" s="35"/>
      <c r="F29" s="34"/>
    </row>
    <row r="30" spans="1:6" x14ac:dyDescent="0.25">
      <c r="A30" s="35"/>
      <c r="F30" s="34"/>
    </row>
    <row r="31" spans="1:6" x14ac:dyDescent="0.25">
      <c r="A31" s="35"/>
      <c r="F31" s="34"/>
    </row>
    <row r="32" spans="1:6" x14ac:dyDescent="0.25">
      <c r="A32" s="35"/>
      <c r="F32" s="34"/>
    </row>
    <row r="33" spans="1:6" x14ac:dyDescent="0.25">
      <c r="A33" s="35"/>
      <c r="F33" s="34"/>
    </row>
    <row r="34" spans="1:6" x14ac:dyDescent="0.25">
      <c r="A34" s="35"/>
      <c r="F34" s="34"/>
    </row>
    <row r="35" spans="1:6" x14ac:dyDescent="0.25">
      <c r="A35" s="35"/>
      <c r="F35" s="34"/>
    </row>
    <row r="36" spans="1:6" x14ac:dyDescent="0.25">
      <c r="A36" s="35"/>
      <c r="F36" s="34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B106" s="35"/>
      <c r="C106" s="35"/>
      <c r="D106" s="35"/>
      <c r="E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</row>
    <row r="120" spans="1:6" x14ac:dyDescent="0.25">
      <c r="A120" s="35"/>
    </row>
    <row r="121" spans="1:6" x14ac:dyDescent="0.25">
      <c r="A121" s="35"/>
    </row>
    <row r="122" spans="1:6" x14ac:dyDescent="0.25">
      <c r="A122" s="35"/>
    </row>
    <row r="123" spans="1:6" x14ac:dyDescent="0.25">
      <c r="A123" s="35"/>
    </row>
    <row r="124" spans="1:6" x14ac:dyDescent="0.25">
      <c r="A124" s="35"/>
    </row>
    <row r="125" spans="1:6" x14ac:dyDescent="0.25">
      <c r="A125" s="35"/>
    </row>
    <row r="126" spans="1:6" x14ac:dyDescent="0.25">
      <c r="A126" s="35"/>
    </row>
    <row r="127" spans="1:6" x14ac:dyDescent="0.25">
      <c r="A127" s="35"/>
    </row>
    <row r="128" spans="1:6" x14ac:dyDescent="0.25">
      <c r="A128" s="35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9"/>
  <dimension ref="A1:J301"/>
  <sheetViews>
    <sheetView zoomScale="180" zoomScaleNormal="180" workbookViewId="0">
      <selection activeCell="A3" sqref="A3"/>
    </sheetView>
  </sheetViews>
  <sheetFormatPr defaultColWidth="8.85546875" defaultRowHeight="15" x14ac:dyDescent="0.25"/>
  <cols>
    <col min="1" max="1" width="11.7109375" style="33" customWidth="1"/>
    <col min="2" max="2" width="8.85546875" style="33"/>
    <col min="3" max="3" width="28.85546875" style="33" bestFit="1" customWidth="1"/>
    <col min="4" max="5" width="8.85546875" style="33"/>
    <col min="6" max="6" width="11.140625" style="33" customWidth="1"/>
    <col min="7" max="7" width="11.7109375" style="34" customWidth="1"/>
    <col min="8" max="8" width="13.85546875" style="33" customWidth="1"/>
    <col min="9" max="16384" width="8.85546875" style="33"/>
  </cols>
  <sheetData>
    <row r="1" spans="1:10" ht="25.5" x14ac:dyDescent="0.35">
      <c r="A1" s="52" t="s">
        <v>94</v>
      </c>
      <c r="D1" s="33">
        <v>37</v>
      </c>
      <c r="F1" s="33">
        <f>SUM(F4:F501)</f>
        <v>0</v>
      </c>
      <c r="G1" s="34">
        <f>SUM(G4:G1048576)</f>
        <v>0</v>
      </c>
      <c r="H1" s="33">
        <f>F1-G1</f>
        <v>0</v>
      </c>
    </row>
    <row r="2" spans="1:10" x14ac:dyDescent="0.25">
      <c r="A2" s="33" t="s">
        <v>0</v>
      </c>
      <c r="B2" s="33" t="s">
        <v>1</v>
      </c>
      <c r="C2" s="33" t="s">
        <v>7</v>
      </c>
      <c r="D2" s="33" t="s">
        <v>3</v>
      </c>
      <c r="E2" s="33" t="s">
        <v>193</v>
      </c>
      <c r="F2" s="33" t="s">
        <v>11</v>
      </c>
      <c r="G2" s="34" t="s">
        <v>9</v>
      </c>
      <c r="H2" s="33" t="s">
        <v>6</v>
      </c>
      <c r="J2" s="33" t="s">
        <v>74</v>
      </c>
    </row>
    <row r="5" spans="1:10" x14ac:dyDescent="0.25">
      <c r="A5" s="35"/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  <c r="I11" s="33" t="s">
        <v>197</v>
      </c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  <c r="I16" s="33" t="s">
        <v>197</v>
      </c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  <c r="I24" s="33" t="s">
        <v>197</v>
      </c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  <c r="I32" s="33" t="s">
        <v>197</v>
      </c>
    </row>
    <row r="33" spans="1:9" ht="22.15" customHeight="1" x14ac:dyDescent="0.25">
      <c r="A33" s="35"/>
    </row>
    <row r="34" spans="1:9" x14ac:dyDescent="0.25">
      <c r="A34" s="35"/>
    </row>
    <row r="35" spans="1:9" x14ac:dyDescent="0.25">
      <c r="A35" s="35"/>
    </row>
    <row r="36" spans="1:9" x14ac:dyDescent="0.25">
      <c r="A36" s="35"/>
    </row>
    <row r="37" spans="1:9" x14ac:dyDescent="0.25">
      <c r="A37" s="35"/>
    </row>
    <row r="38" spans="1:9" x14ac:dyDescent="0.25">
      <c r="A38" s="35"/>
    </row>
    <row r="39" spans="1:9" x14ac:dyDescent="0.25">
      <c r="A39" s="35"/>
    </row>
    <row r="40" spans="1:9" x14ac:dyDescent="0.25">
      <c r="A40" s="35"/>
    </row>
    <row r="41" spans="1:9" x14ac:dyDescent="0.25">
      <c r="A41" s="35"/>
    </row>
    <row r="42" spans="1:9" x14ac:dyDescent="0.25">
      <c r="A42" s="35"/>
    </row>
    <row r="43" spans="1:9" x14ac:dyDescent="0.25">
      <c r="A43" s="35"/>
    </row>
    <row r="44" spans="1:9" x14ac:dyDescent="0.25">
      <c r="A44" s="35"/>
      <c r="I44" s="33" t="s">
        <v>197</v>
      </c>
    </row>
    <row r="45" spans="1:9" x14ac:dyDescent="0.25">
      <c r="A45" s="35"/>
    </row>
    <row r="46" spans="1:9" x14ac:dyDescent="0.25">
      <c r="A46" s="35"/>
    </row>
    <row r="47" spans="1:9" x14ac:dyDescent="0.25">
      <c r="A47" s="35"/>
    </row>
    <row r="48" spans="1:9" x14ac:dyDescent="0.25">
      <c r="A48" s="35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9"/>
  <dimension ref="A1:J366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2.28515625" style="33" customWidth="1"/>
    <col min="2" max="2" width="8" style="33" customWidth="1"/>
    <col min="3" max="3" width="28.85546875" style="33" customWidth="1"/>
    <col min="4" max="4" width="9.7109375" style="33" bestFit="1" customWidth="1"/>
    <col min="5" max="5" width="9.7109375" style="33" customWidth="1"/>
    <col min="6" max="6" width="11.28515625" style="34" bestFit="1" customWidth="1"/>
    <col min="7" max="7" width="11.5703125" style="34" customWidth="1"/>
    <col min="8" max="8" width="11" style="34" customWidth="1"/>
    <col min="9" max="9" width="15.7109375" style="33" customWidth="1"/>
    <col min="10" max="10" width="9.7109375" style="33" bestFit="1" customWidth="1"/>
    <col min="11" max="16384" width="8.85546875" style="33"/>
  </cols>
  <sheetData>
    <row r="1" spans="1:10" ht="35.25" x14ac:dyDescent="0.5">
      <c r="A1" s="31" t="s">
        <v>47</v>
      </c>
      <c r="D1" s="54" t="s">
        <v>63</v>
      </c>
      <c r="E1" s="54"/>
      <c r="F1" s="34">
        <f>SUM(F4:F648)</f>
        <v>0</v>
      </c>
      <c r="G1" s="34">
        <f>SUM(G4:G1048576)</f>
        <v>0</v>
      </c>
      <c r="H1" s="34">
        <f>F1-G1</f>
        <v>0</v>
      </c>
      <c r="J1" s="33">
        <v>41</v>
      </c>
    </row>
    <row r="3" spans="1:10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4" t="s">
        <v>24</v>
      </c>
      <c r="G3" s="34" t="s">
        <v>25</v>
      </c>
      <c r="H3" s="34" t="s">
        <v>6</v>
      </c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  <c r="C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  <c r="I28" s="33" t="s">
        <v>197</v>
      </c>
    </row>
    <row r="29" spans="1:9" ht="18.75" customHeight="1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9" x14ac:dyDescent="0.25">
      <c r="A33" s="35"/>
    </row>
    <row r="34" spans="1:9" x14ac:dyDescent="0.25">
      <c r="A34" s="35"/>
    </row>
    <row r="35" spans="1:9" x14ac:dyDescent="0.25">
      <c r="A35" s="35"/>
    </row>
    <row r="36" spans="1:9" x14ac:dyDescent="0.25">
      <c r="A36" s="35"/>
    </row>
    <row r="37" spans="1:9" x14ac:dyDescent="0.25">
      <c r="A37" s="35"/>
      <c r="I37" s="33" t="s">
        <v>197</v>
      </c>
    </row>
    <row r="38" spans="1:9" x14ac:dyDescent="0.25">
      <c r="A38" s="35"/>
    </row>
    <row r="39" spans="1:9" x14ac:dyDescent="0.25">
      <c r="A39" s="35"/>
      <c r="I39" s="55"/>
    </row>
    <row r="40" spans="1:9" x14ac:dyDescent="0.25">
      <c r="A40" s="35"/>
    </row>
    <row r="41" spans="1:9" x14ac:dyDescent="0.25">
      <c r="A41" s="35"/>
    </row>
    <row r="42" spans="1:9" x14ac:dyDescent="0.25">
      <c r="A42" s="35"/>
    </row>
    <row r="43" spans="1:9" x14ac:dyDescent="0.25">
      <c r="A43" s="35"/>
    </row>
    <row r="44" spans="1:9" x14ac:dyDescent="0.25">
      <c r="A44" s="35"/>
    </row>
    <row r="45" spans="1:9" x14ac:dyDescent="0.25">
      <c r="A45" s="35"/>
    </row>
    <row r="46" spans="1:9" x14ac:dyDescent="0.25">
      <c r="A46" s="35"/>
    </row>
    <row r="47" spans="1:9" x14ac:dyDescent="0.25">
      <c r="A47" s="35"/>
    </row>
    <row r="48" spans="1:9" x14ac:dyDescent="0.25">
      <c r="A48" s="35"/>
    </row>
    <row r="49" spans="1:9" x14ac:dyDescent="0.25">
      <c r="A49" s="35"/>
    </row>
    <row r="50" spans="1:9" x14ac:dyDescent="0.25">
      <c r="A50" s="35"/>
    </row>
    <row r="51" spans="1:9" x14ac:dyDescent="0.25">
      <c r="A51" s="35"/>
    </row>
    <row r="52" spans="1:9" x14ac:dyDescent="0.25">
      <c r="A52" s="35"/>
    </row>
    <row r="53" spans="1:9" x14ac:dyDescent="0.25">
      <c r="A53" s="35"/>
    </row>
    <row r="54" spans="1:9" x14ac:dyDescent="0.25">
      <c r="A54" s="35"/>
    </row>
    <row r="55" spans="1:9" x14ac:dyDescent="0.25">
      <c r="A55" s="35"/>
      <c r="I55" s="33" t="s">
        <v>197</v>
      </c>
    </row>
    <row r="56" spans="1:9" x14ac:dyDescent="0.25">
      <c r="A56" s="35"/>
    </row>
    <row r="57" spans="1:9" x14ac:dyDescent="0.25">
      <c r="A57" s="35"/>
    </row>
    <row r="58" spans="1:9" x14ac:dyDescent="0.25">
      <c r="A58" s="35"/>
      <c r="I58" s="33" t="s">
        <v>197</v>
      </c>
    </row>
    <row r="59" spans="1:9" x14ac:dyDescent="0.25">
      <c r="A59" s="35"/>
    </row>
    <row r="60" spans="1:9" x14ac:dyDescent="0.25">
      <c r="A60" s="35"/>
    </row>
    <row r="61" spans="1:9" x14ac:dyDescent="0.25">
      <c r="A61" s="35"/>
    </row>
    <row r="62" spans="1:9" x14ac:dyDescent="0.25">
      <c r="A62" s="35"/>
    </row>
    <row r="63" spans="1:9" x14ac:dyDescent="0.25">
      <c r="A63" s="35"/>
    </row>
    <row r="64" spans="1:9" x14ac:dyDescent="0.25">
      <c r="A64" s="35"/>
    </row>
    <row r="65" spans="1:9" x14ac:dyDescent="0.25">
      <c r="A65" s="35"/>
      <c r="I65" s="33" t="s">
        <v>197</v>
      </c>
    </row>
    <row r="66" spans="1:9" x14ac:dyDescent="0.25">
      <c r="A66" s="35"/>
    </row>
    <row r="67" spans="1:9" x14ac:dyDescent="0.25">
      <c r="A67" s="35"/>
    </row>
    <row r="68" spans="1:9" x14ac:dyDescent="0.25">
      <c r="A68" s="35"/>
    </row>
    <row r="69" spans="1:9" x14ac:dyDescent="0.25">
      <c r="A69" s="35"/>
      <c r="I69" s="33" t="s">
        <v>197</v>
      </c>
    </row>
    <row r="70" spans="1:9" x14ac:dyDescent="0.25">
      <c r="A70" s="35"/>
    </row>
    <row r="71" spans="1:9" x14ac:dyDescent="0.25">
      <c r="A71" s="35"/>
    </row>
    <row r="72" spans="1:9" x14ac:dyDescent="0.25">
      <c r="A72" s="35"/>
    </row>
    <row r="73" spans="1:9" x14ac:dyDescent="0.25">
      <c r="A73" s="35"/>
    </row>
    <row r="74" spans="1:9" x14ac:dyDescent="0.25">
      <c r="A74" s="35"/>
    </row>
    <row r="75" spans="1:9" x14ac:dyDescent="0.25">
      <c r="A75" s="35"/>
      <c r="I75" s="33" t="s">
        <v>197</v>
      </c>
    </row>
    <row r="76" spans="1:9" x14ac:dyDescent="0.25">
      <c r="A76" s="35"/>
    </row>
    <row r="77" spans="1:9" x14ac:dyDescent="0.25">
      <c r="A77" s="35"/>
    </row>
    <row r="78" spans="1:9" x14ac:dyDescent="0.25">
      <c r="A78" s="35"/>
    </row>
    <row r="79" spans="1:9" x14ac:dyDescent="0.25">
      <c r="A79" s="35"/>
    </row>
    <row r="80" spans="1:9" x14ac:dyDescent="0.25">
      <c r="A80" s="35"/>
    </row>
    <row r="81" spans="1:9" x14ac:dyDescent="0.25">
      <c r="A81" s="35"/>
    </row>
    <row r="82" spans="1:9" x14ac:dyDescent="0.25">
      <c r="A82" s="35"/>
    </row>
    <row r="83" spans="1:9" x14ac:dyDescent="0.25">
      <c r="A83" s="35"/>
    </row>
    <row r="84" spans="1:9" x14ac:dyDescent="0.25">
      <c r="A84" s="35"/>
      <c r="I84" s="33" t="s">
        <v>197</v>
      </c>
    </row>
    <row r="85" spans="1:9" x14ac:dyDescent="0.25">
      <c r="A85" s="35"/>
    </row>
    <row r="86" spans="1:9" x14ac:dyDescent="0.25">
      <c r="A86" s="35"/>
    </row>
    <row r="87" spans="1:9" x14ac:dyDescent="0.25">
      <c r="A87" s="35"/>
    </row>
    <row r="88" spans="1:9" x14ac:dyDescent="0.25">
      <c r="A88" s="35"/>
    </row>
    <row r="89" spans="1:9" x14ac:dyDescent="0.25">
      <c r="A89" s="35"/>
    </row>
    <row r="90" spans="1:9" x14ac:dyDescent="0.25">
      <c r="A90" s="35"/>
    </row>
    <row r="91" spans="1:9" x14ac:dyDescent="0.25">
      <c r="A91" s="35"/>
    </row>
    <row r="92" spans="1:9" x14ac:dyDescent="0.25">
      <c r="A92" s="35"/>
    </row>
    <row r="93" spans="1:9" x14ac:dyDescent="0.25">
      <c r="A93" s="35"/>
    </row>
    <row r="94" spans="1:9" x14ac:dyDescent="0.25">
      <c r="A94" s="35"/>
    </row>
    <row r="95" spans="1:9" x14ac:dyDescent="0.25">
      <c r="A95" s="35"/>
    </row>
    <row r="96" spans="1:9" x14ac:dyDescent="0.25">
      <c r="A96" s="35"/>
      <c r="I96" s="33" t="s">
        <v>197</v>
      </c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5" x14ac:dyDescent="0.25">
      <c r="A113" s="35"/>
    </row>
    <row r="114" spans="1:5" x14ac:dyDescent="0.25">
      <c r="A114" s="35"/>
    </row>
    <row r="115" spans="1:5" x14ac:dyDescent="0.25">
      <c r="A115" s="35"/>
    </row>
    <row r="116" spans="1:5" x14ac:dyDescent="0.25">
      <c r="A116" s="35"/>
    </row>
    <row r="117" spans="1:5" x14ac:dyDescent="0.25">
      <c r="A117" s="35"/>
    </row>
    <row r="118" spans="1:5" x14ac:dyDescent="0.25">
      <c r="A118" s="35"/>
    </row>
    <row r="119" spans="1:5" x14ac:dyDescent="0.25">
      <c r="A119" s="35"/>
    </row>
    <row r="120" spans="1:5" x14ac:dyDescent="0.25">
      <c r="A120" s="35"/>
    </row>
    <row r="121" spans="1:5" x14ac:dyDescent="0.25">
      <c r="A121" s="35"/>
    </row>
    <row r="122" spans="1:5" x14ac:dyDescent="0.25">
      <c r="A122" s="35"/>
      <c r="D122" s="40"/>
      <c r="E122" s="40"/>
    </row>
    <row r="123" spans="1:5" x14ac:dyDescent="0.25">
      <c r="A123" s="35"/>
    </row>
    <row r="124" spans="1:5" x14ac:dyDescent="0.25">
      <c r="A124" s="35"/>
    </row>
    <row r="125" spans="1:5" x14ac:dyDescent="0.25">
      <c r="A125" s="35"/>
    </row>
    <row r="126" spans="1:5" x14ac:dyDescent="0.25">
      <c r="A126" s="35"/>
    </row>
    <row r="127" spans="1:5" x14ac:dyDescent="0.25">
      <c r="A127" s="35"/>
    </row>
    <row r="128" spans="1:5" x14ac:dyDescent="0.25">
      <c r="A128" s="35"/>
    </row>
    <row r="129" spans="1:9" x14ac:dyDescent="0.25">
      <c r="A129" s="35"/>
    </row>
    <row r="130" spans="1:9" x14ac:dyDescent="0.25">
      <c r="A130" s="35"/>
    </row>
    <row r="131" spans="1:9" x14ac:dyDescent="0.25">
      <c r="A131" s="35"/>
    </row>
    <row r="132" spans="1:9" x14ac:dyDescent="0.25">
      <c r="A132" s="35"/>
    </row>
    <row r="133" spans="1:9" x14ac:dyDescent="0.25">
      <c r="A133" s="35"/>
    </row>
    <row r="134" spans="1:9" x14ac:dyDescent="0.25">
      <c r="A134" s="35"/>
    </row>
    <row r="135" spans="1:9" ht="17.45" customHeight="1" x14ac:dyDescent="0.25">
      <c r="A135" s="35"/>
    </row>
    <row r="136" spans="1:9" x14ac:dyDescent="0.25">
      <c r="A136" s="35"/>
    </row>
    <row r="137" spans="1:9" x14ac:dyDescent="0.25">
      <c r="A137" s="35"/>
    </row>
    <row r="138" spans="1:9" x14ac:dyDescent="0.25">
      <c r="A138" s="35"/>
    </row>
    <row r="139" spans="1:9" x14ac:dyDescent="0.25">
      <c r="A139" s="35"/>
      <c r="I139" s="33" t="s">
        <v>197</v>
      </c>
    </row>
    <row r="140" spans="1:9" x14ac:dyDescent="0.25">
      <c r="A140" s="35"/>
    </row>
    <row r="141" spans="1:9" x14ac:dyDescent="0.25">
      <c r="A141" s="35"/>
    </row>
    <row r="142" spans="1:9" x14ac:dyDescent="0.25">
      <c r="A142" s="35"/>
    </row>
    <row r="143" spans="1:9" x14ac:dyDescent="0.25">
      <c r="A143" s="35"/>
    </row>
    <row r="144" spans="1:9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ht="15.6" customHeight="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</sheetData>
  <phoneticPr fontId="21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O33"/>
  <sheetViews>
    <sheetView workbookViewId="0">
      <selection activeCell="A33" sqref="A33"/>
    </sheetView>
  </sheetViews>
  <sheetFormatPr defaultRowHeight="15" x14ac:dyDescent="0.25"/>
  <cols>
    <col min="1" max="1" width="11.85546875" customWidth="1"/>
    <col min="3" max="3" width="17.7109375" customWidth="1"/>
    <col min="4" max="4" width="8.7109375" customWidth="1"/>
    <col min="8" max="8" width="11" bestFit="1" customWidth="1"/>
  </cols>
  <sheetData>
    <row r="1" spans="1:15" ht="26.25" x14ac:dyDescent="0.4">
      <c r="A1" s="15" t="s">
        <v>135</v>
      </c>
      <c r="D1" s="4" t="s">
        <v>136</v>
      </c>
      <c r="E1">
        <f>SUM(E4:E600)</f>
        <v>0</v>
      </c>
      <c r="F1">
        <f>SUM(F4:F1048576)</f>
        <v>0</v>
      </c>
      <c r="G1">
        <f>E1-F1</f>
        <v>0</v>
      </c>
      <c r="I1" s="4" t="s">
        <v>137</v>
      </c>
      <c r="L1" s="3" t="s">
        <v>138</v>
      </c>
      <c r="M1" s="3"/>
      <c r="O1">
        <v>53</v>
      </c>
    </row>
    <row r="3" spans="1:15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5" spans="1:15" x14ac:dyDescent="0.25">
      <c r="A5" s="5"/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8"/>
  <dimension ref="A1:I55"/>
  <sheetViews>
    <sheetView workbookViewId="0">
      <selection activeCell="A33" sqref="A33"/>
    </sheetView>
  </sheetViews>
  <sheetFormatPr defaultRowHeight="15" x14ac:dyDescent="0.25"/>
  <cols>
    <col min="1" max="1" width="10" customWidth="1"/>
    <col min="2" max="2" width="7.7109375" bestFit="1" customWidth="1"/>
    <col min="3" max="3" width="13.7109375" bestFit="1" customWidth="1"/>
    <col min="4" max="4" width="7.7109375" bestFit="1" customWidth="1"/>
    <col min="5" max="5" width="10.7109375" bestFit="1" customWidth="1"/>
    <col min="6" max="6" width="12.28515625" bestFit="1" customWidth="1"/>
    <col min="7" max="7" width="13" bestFit="1" customWidth="1"/>
    <col min="8" max="8" width="8.7109375" customWidth="1"/>
  </cols>
  <sheetData>
    <row r="1" spans="1:7" ht="33.75" x14ac:dyDescent="0.5">
      <c r="A1" s="13" t="s">
        <v>109</v>
      </c>
      <c r="B1" s="9"/>
      <c r="C1" s="9"/>
      <c r="D1">
        <v>63</v>
      </c>
      <c r="E1">
        <f>SUM(E4:E501)</f>
        <v>0</v>
      </c>
      <c r="F1">
        <f>SUM(F4:F1048576)</f>
        <v>0</v>
      </c>
      <c r="G1">
        <f>E1-F1</f>
        <v>0</v>
      </c>
    </row>
    <row r="2" spans="1:7" ht="21" x14ac:dyDescent="0.35">
      <c r="A2" s="2" t="s">
        <v>0</v>
      </c>
      <c r="B2" s="2" t="s">
        <v>93</v>
      </c>
      <c r="C2" s="2" t="s">
        <v>7</v>
      </c>
      <c r="D2" s="2" t="s">
        <v>3</v>
      </c>
      <c r="E2" s="2" t="s">
        <v>11</v>
      </c>
      <c r="F2" s="2" t="s">
        <v>9</v>
      </c>
      <c r="G2" s="2" t="s">
        <v>6</v>
      </c>
    </row>
    <row r="3" spans="1:7" ht="21" x14ac:dyDescent="0.35">
      <c r="A3" s="2"/>
      <c r="B3" s="2"/>
      <c r="C3" s="2"/>
      <c r="D3" s="2"/>
      <c r="E3" s="2"/>
      <c r="F3" s="2"/>
      <c r="G3" s="2"/>
    </row>
    <row r="4" spans="1:7" x14ac:dyDescent="0.25">
      <c r="A4" s="5"/>
    </row>
    <row r="5" spans="1:7" x14ac:dyDescent="0.25">
      <c r="A5" s="5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  <row r="12" spans="1:7" x14ac:dyDescent="0.25">
      <c r="A12" s="5"/>
    </row>
    <row r="13" spans="1:7" x14ac:dyDescent="0.25">
      <c r="A13" s="5"/>
    </row>
    <row r="14" spans="1:7" x14ac:dyDescent="0.25">
      <c r="A14" s="5"/>
      <c r="B14" s="18"/>
    </row>
    <row r="15" spans="1:7" x14ac:dyDescent="0.25">
      <c r="A15" s="5"/>
    </row>
    <row r="16" spans="1:7" ht="15" customHeight="1" x14ac:dyDescent="0.25">
      <c r="A16" s="5"/>
      <c r="C16" s="17"/>
    </row>
    <row r="17" spans="1:9" x14ac:dyDescent="0.25">
      <c r="A17" s="5"/>
    </row>
    <row r="18" spans="1:9" x14ac:dyDescent="0.25">
      <c r="A18" s="5"/>
    </row>
    <row r="19" spans="1:9" x14ac:dyDescent="0.25">
      <c r="A19" s="5"/>
    </row>
    <row r="20" spans="1:9" x14ac:dyDescent="0.25">
      <c r="A20" s="5"/>
      <c r="D20" s="33"/>
    </row>
    <row r="21" spans="1:9" x14ac:dyDescent="0.25">
      <c r="A21" s="5"/>
    </row>
    <row r="22" spans="1:9" x14ac:dyDescent="0.25">
      <c r="A22" s="5"/>
    </row>
    <row r="23" spans="1:9" x14ac:dyDescent="0.25">
      <c r="A23" s="5"/>
    </row>
    <row r="24" spans="1:9" x14ac:dyDescent="0.25">
      <c r="A24" s="5"/>
    </row>
    <row r="25" spans="1:9" x14ac:dyDescent="0.25">
      <c r="A25" s="5"/>
    </row>
    <row r="26" spans="1:9" x14ac:dyDescent="0.25">
      <c r="A26" s="5"/>
    </row>
    <row r="27" spans="1:9" x14ac:dyDescent="0.25">
      <c r="A27" s="5"/>
    </row>
    <row r="28" spans="1:9" x14ac:dyDescent="0.25">
      <c r="A28" s="5"/>
    </row>
    <row r="29" spans="1:9" x14ac:dyDescent="0.25">
      <c r="A29" s="5"/>
    </row>
    <row r="30" spans="1:9" x14ac:dyDescent="0.25">
      <c r="A30" s="5"/>
    </row>
    <row r="31" spans="1:9" x14ac:dyDescent="0.25">
      <c r="A31" s="5"/>
      <c r="I31" s="10"/>
    </row>
    <row r="32" spans="1:9" x14ac:dyDescent="0.25">
      <c r="A32" s="5"/>
    </row>
    <row r="33" spans="1:1" x14ac:dyDescent="0.25">
      <c r="A33" s="3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6"/>
  <dimension ref="A1:G33"/>
  <sheetViews>
    <sheetView workbookViewId="0">
      <selection activeCell="A33" sqref="A33"/>
    </sheetView>
  </sheetViews>
  <sheetFormatPr defaultRowHeight="15" x14ac:dyDescent="0.25"/>
  <cols>
    <col min="1" max="1" width="11.7109375" customWidth="1"/>
    <col min="3" max="3" width="21.7109375" customWidth="1"/>
    <col min="5" max="5" width="11.42578125" customWidth="1"/>
    <col min="6" max="6" width="11.140625" customWidth="1"/>
    <col min="7" max="7" width="12" customWidth="1"/>
  </cols>
  <sheetData>
    <row r="1" spans="1:7" ht="26.25" x14ac:dyDescent="0.4">
      <c r="A1" s="15" t="s">
        <v>139</v>
      </c>
      <c r="D1">
        <v>59</v>
      </c>
      <c r="E1">
        <f>SUM(E4:E500)</f>
        <v>0</v>
      </c>
      <c r="F1">
        <f>SUM(F4:F1048576)</f>
        <v>0</v>
      </c>
      <c r="G1">
        <f>E1-F1</f>
        <v>0</v>
      </c>
    </row>
    <row r="3" spans="1:7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7" spans="1:7" x14ac:dyDescent="0.25">
      <c r="A7" s="5"/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7"/>
  <dimension ref="A1:I259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8" style="33" customWidth="1"/>
    <col min="3" max="3" width="28.85546875" style="33" bestFit="1" customWidth="1"/>
    <col min="4" max="4" width="7.85546875" style="33" bestFit="1" customWidth="1"/>
    <col min="5" max="5" width="7.85546875" style="33" customWidth="1"/>
    <col min="6" max="6" width="13.28515625" style="33" customWidth="1"/>
    <col min="7" max="7" width="10.42578125" style="34" bestFit="1" customWidth="1"/>
    <col min="8" max="8" width="12" style="34" customWidth="1"/>
    <col min="9" max="9" width="12" style="33" bestFit="1" customWidth="1"/>
    <col min="10" max="16384" width="8.85546875" style="33"/>
  </cols>
  <sheetData>
    <row r="1" spans="1:9" ht="33" x14ac:dyDescent="0.45">
      <c r="A1" s="66" t="s">
        <v>108</v>
      </c>
      <c r="D1" s="33">
        <v>63</v>
      </c>
      <c r="F1" s="33">
        <f>SUM(F4:F500)</f>
        <v>0</v>
      </c>
      <c r="G1" s="34">
        <f>SUM(G4:G1048576)</f>
        <v>0</v>
      </c>
      <c r="H1" s="34">
        <f>F1-G1</f>
        <v>0</v>
      </c>
    </row>
    <row r="3" spans="1:9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194</v>
      </c>
      <c r="F3" s="33" t="s">
        <v>24</v>
      </c>
      <c r="G3" s="34" t="s">
        <v>25</v>
      </c>
      <c r="H3" s="34" t="s">
        <v>6</v>
      </c>
    </row>
    <row r="5" spans="1:9" x14ac:dyDescent="0.25">
      <c r="A5" s="35"/>
    </row>
    <row r="6" spans="1:9" x14ac:dyDescent="0.25">
      <c r="A6" s="35"/>
    </row>
    <row r="7" spans="1:9" x14ac:dyDescent="0.25">
      <c r="A7" s="35"/>
      <c r="I7" s="33" t="s">
        <v>197</v>
      </c>
    </row>
    <row r="8" spans="1:9" x14ac:dyDescent="0.25">
      <c r="A8" s="35"/>
    </row>
    <row r="9" spans="1:9" x14ac:dyDescent="0.25">
      <c r="A9" s="35"/>
    </row>
    <row r="10" spans="1:9" x14ac:dyDescent="0.25">
      <c r="A10" s="35"/>
      <c r="I10" s="33" t="s">
        <v>197</v>
      </c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  <c r="I20" s="33" t="s">
        <v>197</v>
      </c>
    </row>
    <row r="21" spans="1:9" x14ac:dyDescent="0.25">
      <c r="A21" s="35"/>
    </row>
    <row r="22" spans="1:9" x14ac:dyDescent="0.25">
      <c r="A22" s="35"/>
      <c r="I22" s="33" t="s">
        <v>197</v>
      </c>
    </row>
    <row r="23" spans="1:9" x14ac:dyDescent="0.25">
      <c r="A23" s="35"/>
    </row>
    <row r="24" spans="1:9" x14ac:dyDescent="0.25">
      <c r="A24" s="35"/>
    </row>
    <row r="25" spans="1:9" x14ac:dyDescent="0.25">
      <c r="A25" s="35"/>
      <c r="F25" s="34"/>
    </row>
    <row r="26" spans="1:9" x14ac:dyDescent="0.25">
      <c r="A26" s="35"/>
      <c r="F26" s="34"/>
    </row>
    <row r="27" spans="1:9" x14ac:dyDescent="0.25">
      <c r="A27" s="35"/>
      <c r="F27" s="34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ht="12" customHeight="1" x14ac:dyDescent="0.25">
      <c r="A31" s="35"/>
      <c r="C31" s="39"/>
    </row>
    <row r="32" spans="1:9" x14ac:dyDescent="0.25">
      <c r="A32" s="35"/>
    </row>
    <row r="33" spans="1:1" x14ac:dyDescent="0.25">
      <c r="A33" s="35"/>
    </row>
    <row r="34" spans="1:1" ht="19.899999999999999" customHeight="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50"/>
  <dimension ref="A1:J18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5703125" style="33" customWidth="1"/>
    <col min="2" max="2" width="8.85546875" style="33"/>
    <col min="3" max="3" width="28.140625" style="33" bestFit="1" customWidth="1"/>
    <col min="4" max="5" width="8.85546875" style="33"/>
    <col min="6" max="6" width="9" style="33" bestFit="1" customWidth="1"/>
    <col min="7" max="7" width="10.28515625" style="34" bestFit="1" customWidth="1"/>
    <col min="8" max="8" width="11.7109375" style="34" bestFit="1" customWidth="1"/>
    <col min="9" max="9" width="12" style="33" bestFit="1" customWidth="1"/>
    <col min="10" max="16384" width="8.85546875" style="33"/>
  </cols>
  <sheetData>
    <row r="1" spans="1:10" ht="25.5" x14ac:dyDescent="0.35">
      <c r="A1" s="52" t="s">
        <v>174</v>
      </c>
      <c r="F1" s="33">
        <f>SUM(F4:F1048576)</f>
        <v>0</v>
      </c>
      <c r="G1" s="34">
        <f>SUM(G4:G1048576)</f>
        <v>0</v>
      </c>
      <c r="H1" s="34">
        <f>F1-G1</f>
        <v>0</v>
      </c>
      <c r="J1" s="33">
        <v>81</v>
      </c>
    </row>
    <row r="3" spans="1:10" x14ac:dyDescent="0.25">
      <c r="A3" s="33" t="s">
        <v>0</v>
      </c>
      <c r="B3" s="33" t="s">
        <v>1</v>
      </c>
      <c r="C3" s="33" t="s">
        <v>7</v>
      </c>
      <c r="D3" s="33" t="s">
        <v>18</v>
      </c>
      <c r="E3" s="33" t="s">
        <v>193</v>
      </c>
      <c r="F3" s="33" t="s">
        <v>24</v>
      </c>
      <c r="G3" s="34" t="s">
        <v>9</v>
      </c>
      <c r="H3" s="34" t="s">
        <v>6</v>
      </c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9" x14ac:dyDescent="0.25">
      <c r="A17" s="35"/>
      <c r="I17" s="33" t="s">
        <v>197</v>
      </c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  <c r="I30" s="33" t="s">
        <v>197</v>
      </c>
    </row>
    <row r="31" spans="1:9" x14ac:dyDescent="0.25">
      <c r="A31" s="35"/>
    </row>
    <row r="32" spans="1:9" x14ac:dyDescent="0.25">
      <c r="A32" s="35"/>
    </row>
    <row r="33" spans="1:9" x14ac:dyDescent="0.25">
      <c r="A33" s="35"/>
    </row>
    <row r="34" spans="1:9" x14ac:dyDescent="0.25">
      <c r="A34" s="35"/>
    </row>
    <row r="35" spans="1:9" x14ac:dyDescent="0.25">
      <c r="A35" s="35"/>
    </row>
    <row r="36" spans="1:9" x14ac:dyDescent="0.25">
      <c r="A36" s="35"/>
    </row>
    <row r="37" spans="1:9" x14ac:dyDescent="0.25">
      <c r="A37" s="35"/>
    </row>
    <row r="38" spans="1:9" x14ac:dyDescent="0.25">
      <c r="A38" s="35"/>
    </row>
    <row r="39" spans="1:9" x14ac:dyDescent="0.25">
      <c r="A39" s="35"/>
    </row>
    <row r="40" spans="1:9" x14ac:dyDescent="0.25">
      <c r="A40" s="35"/>
    </row>
    <row r="41" spans="1:9" x14ac:dyDescent="0.25">
      <c r="A41" s="35"/>
    </row>
    <row r="42" spans="1:9" x14ac:dyDescent="0.25">
      <c r="A42" s="35"/>
    </row>
    <row r="43" spans="1:9" x14ac:dyDescent="0.25">
      <c r="A43" s="35"/>
    </row>
    <row r="44" spans="1:9" x14ac:dyDescent="0.25">
      <c r="A44" s="35"/>
      <c r="I44" s="33" t="s">
        <v>197</v>
      </c>
    </row>
    <row r="45" spans="1:9" x14ac:dyDescent="0.25">
      <c r="A45" s="35"/>
    </row>
    <row r="46" spans="1:9" x14ac:dyDescent="0.25">
      <c r="A46" s="35"/>
    </row>
    <row r="47" spans="1:9" x14ac:dyDescent="0.25">
      <c r="A47" s="35"/>
    </row>
    <row r="48" spans="1:9" x14ac:dyDescent="0.25">
      <c r="A48" s="35"/>
    </row>
    <row r="49" spans="1:9" x14ac:dyDescent="0.25">
      <c r="A49" s="35"/>
    </row>
    <row r="50" spans="1:9" x14ac:dyDescent="0.25">
      <c r="A50" s="35"/>
    </row>
    <row r="51" spans="1:9" x14ac:dyDescent="0.25">
      <c r="A51" s="35"/>
    </row>
    <row r="52" spans="1:9" x14ac:dyDescent="0.25">
      <c r="A52" s="35"/>
    </row>
    <row r="53" spans="1:9" x14ac:dyDescent="0.25">
      <c r="A53" s="35"/>
    </row>
    <row r="54" spans="1:9" x14ac:dyDescent="0.25">
      <c r="A54" s="35"/>
      <c r="I54" s="33" t="s">
        <v>197</v>
      </c>
    </row>
    <row r="55" spans="1:9" x14ac:dyDescent="0.25">
      <c r="A55" s="35"/>
    </row>
    <row r="56" spans="1:9" x14ac:dyDescent="0.25">
      <c r="A56" s="35"/>
    </row>
    <row r="57" spans="1:9" x14ac:dyDescent="0.25">
      <c r="A57" s="35"/>
    </row>
    <row r="58" spans="1:9" x14ac:dyDescent="0.25">
      <c r="A58" s="35"/>
    </row>
    <row r="59" spans="1:9" x14ac:dyDescent="0.25">
      <c r="A59" s="35"/>
    </row>
    <row r="60" spans="1:9" x14ac:dyDescent="0.25">
      <c r="A60" s="35"/>
    </row>
    <row r="61" spans="1:9" x14ac:dyDescent="0.25">
      <c r="A61" s="35"/>
    </row>
    <row r="62" spans="1:9" x14ac:dyDescent="0.25">
      <c r="A62" s="35"/>
    </row>
    <row r="63" spans="1:9" x14ac:dyDescent="0.25">
      <c r="A63" s="35"/>
    </row>
    <row r="64" spans="1:9" x14ac:dyDescent="0.25">
      <c r="A64" s="35"/>
    </row>
    <row r="65" spans="1:6" x14ac:dyDescent="0.25">
      <c r="A65" s="35"/>
    </row>
    <row r="66" spans="1:6" x14ac:dyDescent="0.25">
      <c r="A66" s="35"/>
    </row>
    <row r="67" spans="1:6" x14ac:dyDescent="0.25">
      <c r="A67" s="35"/>
    </row>
    <row r="68" spans="1:6" x14ac:dyDescent="0.25">
      <c r="A68" s="35"/>
    </row>
    <row r="69" spans="1:6" x14ac:dyDescent="0.25">
      <c r="A69" s="35"/>
    </row>
    <row r="70" spans="1:6" x14ac:dyDescent="0.25">
      <c r="A70" s="35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2"/>
  <dimension ref="A1:J256"/>
  <sheetViews>
    <sheetView zoomScale="150" zoomScaleNormal="150" workbookViewId="0">
      <selection activeCell="H25" sqref="A5:H25"/>
    </sheetView>
  </sheetViews>
  <sheetFormatPr defaultColWidth="8.85546875" defaultRowHeight="15" x14ac:dyDescent="0.25"/>
  <cols>
    <col min="1" max="1" width="12.85546875" style="33" customWidth="1"/>
    <col min="2" max="2" width="7.42578125" style="33" bestFit="1" customWidth="1"/>
    <col min="3" max="3" width="23.7109375" style="33" bestFit="1" customWidth="1"/>
    <col min="4" max="4" width="7.7109375" style="33" bestFit="1" customWidth="1"/>
    <col min="5" max="5" width="12.140625" style="33" bestFit="1" customWidth="1"/>
    <col min="6" max="6" width="10.7109375" style="33" bestFit="1" customWidth="1"/>
    <col min="7" max="7" width="12.28515625" style="33" bestFit="1" customWidth="1"/>
    <col min="8" max="8" width="13" style="33" bestFit="1" customWidth="1"/>
    <col min="9" max="9" width="10.28515625" style="33" customWidth="1"/>
    <col min="10" max="16384" width="8.85546875" style="33"/>
  </cols>
  <sheetData>
    <row r="1" spans="1:9" ht="33" x14ac:dyDescent="0.45">
      <c r="A1" s="66" t="s">
        <v>55</v>
      </c>
      <c r="F1" s="33">
        <f>SUM(F4:F499)</f>
        <v>0</v>
      </c>
      <c r="G1" s="33">
        <f>SUM(G4:G1048576)</f>
        <v>0</v>
      </c>
      <c r="H1" s="33">
        <f>F1-G1</f>
        <v>0</v>
      </c>
      <c r="I1" s="33">
        <v>81</v>
      </c>
    </row>
    <row r="2" spans="1:9" ht="20.25" x14ac:dyDescent="0.3">
      <c r="A2" s="37" t="s">
        <v>0</v>
      </c>
      <c r="B2" s="37" t="s">
        <v>1</v>
      </c>
      <c r="C2" s="37" t="s">
        <v>7</v>
      </c>
      <c r="D2" s="37" t="s">
        <v>3</v>
      </c>
      <c r="E2" s="37" t="s">
        <v>193</v>
      </c>
      <c r="F2" s="71" t="s">
        <v>203</v>
      </c>
      <c r="G2" s="37" t="s">
        <v>9</v>
      </c>
      <c r="H2" s="37" t="s">
        <v>6</v>
      </c>
    </row>
    <row r="3" spans="1:9" ht="20.25" x14ac:dyDescent="0.3">
      <c r="A3" s="37"/>
      <c r="B3" s="37"/>
      <c r="C3" s="37"/>
      <c r="D3" s="37"/>
      <c r="E3" s="37"/>
      <c r="F3" s="71"/>
      <c r="G3" s="37"/>
      <c r="H3" s="37"/>
    </row>
    <row r="4" spans="1:9" x14ac:dyDescent="0.25">
      <c r="A4" s="35"/>
    </row>
    <row r="5" spans="1:9" x14ac:dyDescent="0.25">
      <c r="A5" s="35"/>
    </row>
    <row r="6" spans="1:9" x14ac:dyDescent="0.25">
      <c r="A6" s="35"/>
      <c r="I6" s="33" t="s">
        <v>197</v>
      </c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  <c r="I13" s="33" t="s">
        <v>197</v>
      </c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5" x14ac:dyDescent="0.25">
      <c r="A17" s="35"/>
    </row>
    <row r="18" spans="1:5" x14ac:dyDescent="0.25">
      <c r="A18" s="35"/>
    </row>
    <row r="19" spans="1:5" x14ac:dyDescent="0.25">
      <c r="A19" s="35"/>
    </row>
    <row r="20" spans="1:5" x14ac:dyDescent="0.25">
      <c r="A20" s="35"/>
    </row>
    <row r="21" spans="1:5" x14ac:dyDescent="0.25">
      <c r="A21" s="35"/>
    </row>
    <row r="22" spans="1:5" x14ac:dyDescent="0.25">
      <c r="A22" s="35"/>
    </row>
    <row r="23" spans="1:5" x14ac:dyDescent="0.25">
      <c r="A23" s="35"/>
    </row>
    <row r="24" spans="1:5" x14ac:dyDescent="0.25">
      <c r="A24" s="35"/>
    </row>
    <row r="25" spans="1:5" x14ac:dyDescent="0.25">
      <c r="A25" s="35"/>
    </row>
    <row r="26" spans="1:5" x14ac:dyDescent="0.25">
      <c r="A26" s="35"/>
    </row>
    <row r="27" spans="1:5" x14ac:dyDescent="0.25">
      <c r="A27" s="35"/>
    </row>
    <row r="28" spans="1:5" ht="17.25" customHeight="1" x14ac:dyDescent="0.25">
      <c r="A28" s="35"/>
    </row>
    <row r="29" spans="1:5" x14ac:dyDescent="0.25">
      <c r="A29" s="35"/>
    </row>
    <row r="30" spans="1:5" x14ac:dyDescent="0.25">
      <c r="A30" s="35"/>
    </row>
    <row r="31" spans="1:5" x14ac:dyDescent="0.25">
      <c r="A31" s="35"/>
      <c r="C31" s="39"/>
      <c r="D31" s="39"/>
      <c r="E31" s="39"/>
    </row>
    <row r="32" spans="1:5" x14ac:dyDescent="0.25">
      <c r="A32" s="35"/>
    </row>
    <row r="33" spans="1:10" x14ac:dyDescent="0.25">
      <c r="A33" s="35"/>
    </row>
    <row r="34" spans="1:10" x14ac:dyDescent="0.25">
      <c r="A34" s="35"/>
    </row>
    <row r="35" spans="1:10" x14ac:dyDescent="0.25">
      <c r="A35" s="35"/>
    </row>
    <row r="36" spans="1:10" x14ac:dyDescent="0.25">
      <c r="A36" s="35"/>
    </row>
    <row r="37" spans="1:10" x14ac:dyDescent="0.25">
      <c r="A37" s="35"/>
    </row>
    <row r="38" spans="1:10" x14ac:dyDescent="0.25">
      <c r="A38" s="35"/>
    </row>
    <row r="39" spans="1:10" x14ac:dyDescent="0.25">
      <c r="A39" s="35"/>
    </row>
    <row r="40" spans="1:10" x14ac:dyDescent="0.25">
      <c r="A40" s="35"/>
      <c r="J40" s="68"/>
    </row>
    <row r="41" spans="1:10" x14ac:dyDescent="0.25">
      <c r="A41" s="35"/>
    </row>
    <row r="42" spans="1:10" x14ac:dyDescent="0.25">
      <c r="A42" s="35"/>
    </row>
    <row r="43" spans="1:10" x14ac:dyDescent="0.25">
      <c r="A43" s="35"/>
    </row>
    <row r="44" spans="1:10" x14ac:dyDescent="0.25">
      <c r="A44" s="35"/>
    </row>
    <row r="45" spans="1:10" x14ac:dyDescent="0.25">
      <c r="A45" s="35"/>
    </row>
    <row r="46" spans="1:10" x14ac:dyDescent="0.25">
      <c r="A46" s="35"/>
    </row>
    <row r="47" spans="1:10" x14ac:dyDescent="0.25">
      <c r="A47" s="35"/>
    </row>
    <row r="48" spans="1:10" x14ac:dyDescent="0.25">
      <c r="A48" s="35"/>
    </row>
    <row r="49" spans="1:3" x14ac:dyDescent="0.25">
      <c r="A49" s="35"/>
    </row>
    <row r="50" spans="1:3" x14ac:dyDescent="0.25">
      <c r="A50" s="35"/>
    </row>
    <row r="51" spans="1:3" x14ac:dyDescent="0.25">
      <c r="A51" s="35"/>
    </row>
    <row r="52" spans="1:3" x14ac:dyDescent="0.25">
      <c r="A52" s="35"/>
    </row>
    <row r="53" spans="1:3" x14ac:dyDescent="0.25">
      <c r="A53" s="35"/>
    </row>
    <row r="54" spans="1:3" x14ac:dyDescent="0.25">
      <c r="A54" s="35"/>
    </row>
    <row r="55" spans="1:3" x14ac:dyDescent="0.25">
      <c r="A55" s="35"/>
    </row>
    <row r="56" spans="1:3" x14ac:dyDescent="0.25">
      <c r="A56" s="35"/>
    </row>
    <row r="57" spans="1:3" x14ac:dyDescent="0.25">
      <c r="A57" s="35"/>
    </row>
    <row r="58" spans="1:3" x14ac:dyDescent="0.25">
      <c r="A58" s="35"/>
      <c r="C58" s="39"/>
    </row>
    <row r="59" spans="1:3" x14ac:dyDescent="0.25">
      <c r="A59" s="35"/>
    </row>
    <row r="60" spans="1:3" x14ac:dyDescent="0.25">
      <c r="A60" s="35"/>
    </row>
    <row r="61" spans="1:3" x14ac:dyDescent="0.25">
      <c r="A61" s="35"/>
    </row>
    <row r="62" spans="1:3" x14ac:dyDescent="0.25">
      <c r="A62" s="35"/>
    </row>
    <row r="63" spans="1:3" x14ac:dyDescent="0.25">
      <c r="A63" s="35"/>
    </row>
    <row r="64" spans="1:3" x14ac:dyDescent="0.25">
      <c r="A64" s="35"/>
    </row>
    <row r="65" spans="1:2" x14ac:dyDescent="0.25">
      <c r="A65" s="35"/>
    </row>
    <row r="66" spans="1:2" x14ac:dyDescent="0.25">
      <c r="A66" s="35"/>
    </row>
    <row r="67" spans="1:2" x14ac:dyDescent="0.25">
      <c r="A67" s="35"/>
    </row>
    <row r="68" spans="1:2" x14ac:dyDescent="0.25">
      <c r="A68" s="35"/>
    </row>
    <row r="69" spans="1:2" x14ac:dyDescent="0.25">
      <c r="A69" s="35"/>
    </row>
    <row r="70" spans="1:2" x14ac:dyDescent="0.25">
      <c r="A70" s="35"/>
    </row>
    <row r="71" spans="1:2" x14ac:dyDescent="0.25">
      <c r="A71" s="35"/>
    </row>
    <row r="72" spans="1:2" x14ac:dyDescent="0.25">
      <c r="A72" s="35"/>
    </row>
    <row r="73" spans="1:2" x14ac:dyDescent="0.25">
      <c r="A73" s="35"/>
    </row>
    <row r="74" spans="1:2" x14ac:dyDescent="0.25">
      <c r="A74" s="35"/>
    </row>
    <row r="75" spans="1:2" x14ac:dyDescent="0.25">
      <c r="A75" s="35"/>
    </row>
    <row r="76" spans="1:2" x14ac:dyDescent="0.25">
      <c r="A76" s="35"/>
      <c r="B76" s="70"/>
    </row>
    <row r="77" spans="1:2" x14ac:dyDescent="0.25">
      <c r="A77" s="35"/>
    </row>
    <row r="78" spans="1:2" x14ac:dyDescent="0.25">
      <c r="A78" s="35"/>
    </row>
    <row r="79" spans="1:2" x14ac:dyDescent="0.25">
      <c r="A79" s="35"/>
    </row>
    <row r="80" spans="1:2" x14ac:dyDescent="0.25">
      <c r="A80" s="35"/>
    </row>
    <row r="81" spans="1:5" x14ac:dyDescent="0.25">
      <c r="A81" s="35"/>
    </row>
    <row r="82" spans="1:5" x14ac:dyDescent="0.25">
      <c r="A82" s="35"/>
    </row>
    <row r="83" spans="1:5" x14ac:dyDescent="0.25">
      <c r="A83" s="35"/>
    </row>
    <row r="84" spans="1:5" x14ac:dyDescent="0.25">
      <c r="A84" s="35"/>
    </row>
    <row r="85" spans="1:5" x14ac:dyDescent="0.25">
      <c r="A85" s="35"/>
    </row>
    <row r="86" spans="1:5" x14ac:dyDescent="0.25">
      <c r="A86" s="35"/>
    </row>
    <row r="87" spans="1:5" x14ac:dyDescent="0.25">
      <c r="A87" s="35"/>
    </row>
    <row r="88" spans="1:5" x14ac:dyDescent="0.25">
      <c r="A88" s="35"/>
    </row>
    <row r="89" spans="1:5" x14ac:dyDescent="0.25">
      <c r="A89" s="35"/>
    </row>
    <row r="90" spans="1:5" x14ac:dyDescent="0.25">
      <c r="A90" s="35"/>
    </row>
    <row r="91" spans="1:5" x14ac:dyDescent="0.25">
      <c r="A91" s="35"/>
    </row>
    <row r="92" spans="1:5" x14ac:dyDescent="0.25">
      <c r="A92" s="35"/>
    </row>
    <row r="93" spans="1:5" x14ac:dyDescent="0.25">
      <c r="A93" s="35"/>
    </row>
    <row r="94" spans="1:5" x14ac:dyDescent="0.25">
      <c r="A94" s="35"/>
    </row>
    <row r="95" spans="1:5" x14ac:dyDescent="0.25">
      <c r="A95" s="35"/>
    </row>
    <row r="96" spans="1:5" ht="18.75" customHeight="1" x14ac:dyDescent="0.25">
      <c r="A96" s="35"/>
      <c r="D96" s="40"/>
      <c r="E96" s="40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</sheetData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3"/>
  <dimension ref="A1:I28"/>
  <sheetViews>
    <sheetView zoomScale="180" zoomScaleNormal="180" workbookViewId="0">
      <selection activeCell="H22" sqref="A6:H22"/>
    </sheetView>
  </sheetViews>
  <sheetFormatPr defaultColWidth="8.85546875" defaultRowHeight="15" x14ac:dyDescent="0.25"/>
  <cols>
    <col min="1" max="1" width="16.140625" style="33" bestFit="1" customWidth="1"/>
    <col min="2" max="2" width="10" style="33" bestFit="1" customWidth="1"/>
    <col min="3" max="3" width="20.28515625" style="33" customWidth="1"/>
    <col min="4" max="4" width="8.42578125" style="33" bestFit="1" customWidth="1"/>
    <col min="5" max="5" width="7.28515625" style="33" customWidth="1"/>
    <col min="6" max="6" width="10.7109375" style="33" bestFit="1" customWidth="1"/>
    <col min="7" max="7" width="11.85546875" style="34" customWidth="1"/>
    <col min="8" max="8" width="11.7109375" style="34" customWidth="1"/>
    <col min="9" max="9" width="11" style="33" bestFit="1" customWidth="1"/>
    <col min="10" max="16384" width="8.85546875" style="33"/>
  </cols>
  <sheetData>
    <row r="1" spans="1:9" ht="22.5" x14ac:dyDescent="0.3">
      <c r="A1" s="32" t="s">
        <v>86</v>
      </c>
      <c r="D1" s="33">
        <v>73</v>
      </c>
      <c r="F1" s="33">
        <f>SUM(F4:F500)</f>
        <v>0</v>
      </c>
      <c r="G1" s="34">
        <f>SUM(G4:G1048576)</f>
        <v>0</v>
      </c>
      <c r="H1" s="34">
        <f>F1-G1</f>
        <v>0</v>
      </c>
    </row>
    <row r="3" spans="1:9" ht="20.25" x14ac:dyDescent="0.3">
      <c r="A3" s="41" t="s">
        <v>0</v>
      </c>
      <c r="B3" s="37" t="s">
        <v>85</v>
      </c>
      <c r="C3" s="37" t="s">
        <v>7</v>
      </c>
      <c r="D3" s="37" t="s">
        <v>18</v>
      </c>
      <c r="E3" s="37" t="s">
        <v>195</v>
      </c>
      <c r="F3" s="37" t="s">
        <v>11</v>
      </c>
      <c r="G3" s="67" t="s">
        <v>9</v>
      </c>
      <c r="H3" s="67" t="s">
        <v>6</v>
      </c>
    </row>
    <row r="6" spans="1:9" x14ac:dyDescent="0.25">
      <c r="A6" s="35"/>
    </row>
    <row r="7" spans="1:9" x14ac:dyDescent="0.25">
      <c r="A7" s="35"/>
      <c r="I7" s="33" t="s">
        <v>197</v>
      </c>
    </row>
    <row r="8" spans="1:9" x14ac:dyDescent="0.25">
      <c r="A8" s="35"/>
    </row>
    <row r="9" spans="1:9" x14ac:dyDescent="0.25">
      <c r="A9" s="35"/>
    </row>
    <row r="10" spans="1:9" x14ac:dyDescent="0.25">
      <c r="A10" s="35"/>
      <c r="I10" s="33" t="s">
        <v>197</v>
      </c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3" x14ac:dyDescent="0.25">
      <c r="A17" s="35"/>
    </row>
    <row r="18" spans="1:3" x14ac:dyDescent="0.25">
      <c r="A18" s="35"/>
    </row>
    <row r="19" spans="1:3" x14ac:dyDescent="0.25">
      <c r="A19" s="35"/>
    </row>
    <row r="20" spans="1:3" x14ac:dyDescent="0.25">
      <c r="A20" s="35"/>
    </row>
    <row r="28" spans="1:3" ht="25.5" x14ac:dyDescent="0.35">
      <c r="C28" s="69"/>
    </row>
  </sheetData>
  <pageMargins left="0.7" right="0.7" top="0.75" bottom="0.75" header="0.3" footer="0.3"/>
  <pageSetup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5"/>
  <dimension ref="A1:H2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4.28515625" style="33" customWidth="1"/>
    <col min="2" max="2" width="8.85546875" style="33"/>
    <col min="3" max="3" width="24.7109375" style="33" bestFit="1" customWidth="1"/>
    <col min="4" max="8" width="8.85546875" style="33"/>
    <col min="9" max="9" width="11" style="33" bestFit="1" customWidth="1"/>
    <col min="10" max="16384" width="8.85546875" style="33"/>
  </cols>
  <sheetData>
    <row r="1" spans="1:8" ht="25.5" x14ac:dyDescent="0.35">
      <c r="A1" s="52" t="s">
        <v>127</v>
      </c>
      <c r="C1" s="41">
        <v>69</v>
      </c>
      <c r="F1" s="33">
        <f>SUM(F4:F501)</f>
        <v>0</v>
      </c>
      <c r="G1" s="33">
        <f>SUM(G4:G1048576)</f>
        <v>0</v>
      </c>
      <c r="H1" s="33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3" t="s">
        <v>25</v>
      </c>
      <c r="H3" s="33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4"/>
  <dimension ref="A1:L176"/>
  <sheetViews>
    <sheetView zoomScale="150" zoomScaleNormal="150" workbookViewId="0">
      <selection activeCell="A4" sqref="A4"/>
    </sheetView>
  </sheetViews>
  <sheetFormatPr defaultColWidth="8.85546875" defaultRowHeight="15" x14ac:dyDescent="0.25"/>
  <cols>
    <col min="1" max="1" width="11.42578125" style="33" customWidth="1"/>
    <col min="2" max="2" width="9" style="33" bestFit="1" customWidth="1"/>
    <col min="3" max="3" width="23" style="33" customWidth="1"/>
    <col min="4" max="5" width="9" style="33" bestFit="1" customWidth="1"/>
    <col min="6" max="6" width="9.140625" style="33" bestFit="1" customWidth="1"/>
    <col min="7" max="7" width="9.7109375" style="33" bestFit="1" customWidth="1"/>
    <col min="8" max="16384" width="8.85546875" style="33"/>
  </cols>
  <sheetData>
    <row r="1" spans="1:7" ht="25.5" x14ac:dyDescent="0.35">
      <c r="A1" s="52" t="s">
        <v>186</v>
      </c>
      <c r="D1" s="33">
        <v>36</v>
      </c>
      <c r="E1" s="33">
        <f>SUM(E4:E1048576)</f>
        <v>0</v>
      </c>
      <c r="F1" s="33">
        <f>SUM(F4:F1048576)</f>
        <v>0</v>
      </c>
      <c r="G1" s="33">
        <f>E1-F1</f>
        <v>0</v>
      </c>
    </row>
    <row r="2" spans="1:7" ht="20.25" x14ac:dyDescent="0.3">
      <c r="A2" s="33" t="s">
        <v>204</v>
      </c>
      <c r="B2" s="33" t="s">
        <v>1</v>
      </c>
      <c r="C2" s="33" t="s">
        <v>2</v>
      </c>
      <c r="D2" s="33" t="s">
        <v>3</v>
      </c>
      <c r="E2" s="33" t="s">
        <v>11</v>
      </c>
      <c r="F2" s="33" t="s">
        <v>9</v>
      </c>
      <c r="G2" s="33" t="s">
        <v>6</v>
      </c>
    </row>
    <row r="5" spans="1:7" x14ac:dyDescent="0.25">
      <c r="A5" s="35"/>
    </row>
    <row r="6" spans="1:7" x14ac:dyDescent="0.25">
      <c r="A6" s="35"/>
    </row>
    <row r="7" spans="1:7" x14ac:dyDescent="0.25">
      <c r="A7" s="35"/>
    </row>
    <row r="39" ht="15.75" customHeight="1" x14ac:dyDescent="0.25"/>
    <row r="81" s="33" customFormat="1" x14ac:dyDescent="0.25"/>
    <row r="110" spans="11:11" x14ac:dyDescent="0.25">
      <c r="K110" s="33" t="s">
        <v>27</v>
      </c>
    </row>
    <row r="123" spans="12:12" x14ac:dyDescent="0.25">
      <c r="L123" s="33" t="s">
        <v>27</v>
      </c>
    </row>
    <row r="144" spans="11:11" x14ac:dyDescent="0.25">
      <c r="K144" s="33" t="s">
        <v>27</v>
      </c>
    </row>
    <row r="176" spans="11:11" x14ac:dyDescent="0.25">
      <c r="K176" s="33" t="s">
        <v>27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63"/>
  <dimension ref="A1:H21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33" customWidth="1"/>
    <col min="2" max="2" width="9" style="33" bestFit="1" customWidth="1"/>
    <col min="3" max="3" width="23.7109375" style="33" bestFit="1" customWidth="1"/>
    <col min="4" max="6" width="9" style="33" bestFit="1" customWidth="1"/>
    <col min="7" max="8" width="10.4257812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34</v>
      </c>
      <c r="D1" s="33">
        <v>89</v>
      </c>
      <c r="F1" s="33">
        <f>SUM(F4:F500)</f>
        <v>0</v>
      </c>
      <c r="G1" s="34">
        <f>SUM(G4:G1048576)</f>
        <v>0</v>
      </c>
      <c r="H1" s="34">
        <f>F1-G1</f>
        <v>0</v>
      </c>
    </row>
    <row r="2" spans="1:8" x14ac:dyDescent="0.25">
      <c r="A2" s="33" t="s">
        <v>21</v>
      </c>
      <c r="B2" s="33" t="s">
        <v>22</v>
      </c>
      <c r="C2" s="33" t="s">
        <v>26</v>
      </c>
      <c r="D2" s="33" t="s">
        <v>3</v>
      </c>
      <c r="E2" s="33" t="s">
        <v>193</v>
      </c>
      <c r="F2" s="33" t="s">
        <v>24</v>
      </c>
      <c r="G2" s="34" t="s">
        <v>25</v>
      </c>
      <c r="H2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6" x14ac:dyDescent="0.25">
      <c r="A17" s="35"/>
    </row>
    <row r="18" spans="1:6" x14ac:dyDescent="0.25">
      <c r="A18" s="35"/>
      <c r="F18" s="34"/>
    </row>
    <row r="19" spans="1:6" x14ac:dyDescent="0.25">
      <c r="A19" s="35"/>
      <c r="F19" s="34"/>
    </row>
    <row r="20" spans="1:6" x14ac:dyDescent="0.25">
      <c r="A20" s="35"/>
    </row>
    <row r="21" spans="1:6" ht="15.75" customHeight="1" x14ac:dyDescent="0.25">
      <c r="A21" s="35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1"/>
  <dimension ref="A1:H33"/>
  <sheetViews>
    <sheetView topLeftCell="A23" zoomScale="180" zoomScaleNormal="180" workbookViewId="0">
      <selection activeCell="I32" sqref="A6:I32"/>
    </sheetView>
  </sheetViews>
  <sheetFormatPr defaultColWidth="8.85546875" defaultRowHeight="15" x14ac:dyDescent="0.25"/>
  <cols>
    <col min="1" max="1" width="10.85546875" style="33" customWidth="1"/>
    <col min="2" max="2" width="9" style="33" bestFit="1" customWidth="1"/>
    <col min="3" max="3" width="21" style="33" bestFit="1" customWidth="1"/>
    <col min="4" max="6" width="9" style="33" bestFit="1" customWidth="1"/>
    <col min="7" max="7" width="9.85546875" style="34" bestFit="1" customWidth="1"/>
    <col min="8" max="8" width="10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75</v>
      </c>
      <c r="C1" s="33">
        <v>91</v>
      </c>
      <c r="F1" s="33">
        <f>SUM(F4:F501)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6" spans="1:8" x14ac:dyDescent="0.25">
      <c r="A6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  <c r="F16" s="34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  <c r="F20" s="34"/>
    </row>
    <row r="21" spans="1:6" x14ac:dyDescent="0.25">
      <c r="A21" s="35"/>
    </row>
    <row r="22" spans="1:6" x14ac:dyDescent="0.25">
      <c r="A22" s="35"/>
    </row>
    <row r="23" spans="1:6" x14ac:dyDescent="0.25">
      <c r="A23" s="35"/>
    </row>
    <row r="24" spans="1:6" ht="15.6" customHeight="1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</row>
    <row r="28" spans="1:6" x14ac:dyDescent="0.25">
      <c r="A28" s="35"/>
    </row>
    <row r="33" spans="1:1" x14ac:dyDescent="0.25">
      <c r="A33" s="35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62"/>
  <dimension ref="A1:I48"/>
  <sheetViews>
    <sheetView zoomScale="150" zoomScaleNormal="150" workbookViewId="0">
      <selection activeCell="H16" sqref="A4:H16"/>
    </sheetView>
  </sheetViews>
  <sheetFormatPr defaultColWidth="8.85546875" defaultRowHeight="15" x14ac:dyDescent="0.25"/>
  <cols>
    <col min="1" max="1" width="12.42578125" style="33" customWidth="1"/>
    <col min="2" max="2" width="9.5703125" style="33" customWidth="1"/>
    <col min="3" max="3" width="16.42578125" style="33" customWidth="1"/>
    <col min="4" max="4" width="7.7109375" style="33" customWidth="1"/>
    <col min="5" max="5" width="9.140625" style="33" customWidth="1"/>
    <col min="6" max="6" width="12.140625" style="33" customWidth="1"/>
    <col min="7" max="7" width="12.28515625" style="33" customWidth="1"/>
    <col min="8" max="8" width="11" style="33" bestFit="1" customWidth="1"/>
    <col min="9" max="16384" width="8.85546875" style="33"/>
  </cols>
  <sheetData>
    <row r="1" spans="1:9" ht="35.25" x14ac:dyDescent="0.5">
      <c r="A1" s="31" t="s">
        <v>191</v>
      </c>
      <c r="B1" s="31"/>
      <c r="D1" s="33" t="s">
        <v>192</v>
      </c>
      <c r="E1" s="33">
        <f>SUM(E4:E500)</f>
        <v>0</v>
      </c>
      <c r="F1" s="33">
        <f>SUM(F4:F1048576)</f>
        <v>0</v>
      </c>
      <c r="G1" s="33">
        <f>E1-F1</f>
        <v>0</v>
      </c>
      <c r="I1" s="33" t="s">
        <v>179</v>
      </c>
    </row>
    <row r="2" spans="1:9" x14ac:dyDescent="0.25">
      <c r="A2" s="33" t="s">
        <v>21</v>
      </c>
      <c r="B2" s="33" t="s">
        <v>38</v>
      </c>
      <c r="C2" s="33" t="s">
        <v>26</v>
      </c>
      <c r="D2" s="33" t="s">
        <v>3</v>
      </c>
      <c r="E2" s="33" t="s">
        <v>24</v>
      </c>
      <c r="F2" s="33" t="s">
        <v>25</v>
      </c>
      <c r="G2" s="33" t="s">
        <v>6</v>
      </c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30" ht="10.15" customHeight="1" x14ac:dyDescent="0.25"/>
    <row r="48" ht="14.45" customHeight="1" x14ac:dyDescent="0.25"/>
  </sheetData>
  <phoneticPr fontId="21" type="noConversion"/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65"/>
  <dimension ref="A1:J33"/>
  <sheetViews>
    <sheetView zoomScale="160" zoomScaleNormal="160" workbookViewId="0">
      <selection activeCell="H9" sqref="A5:H9"/>
    </sheetView>
  </sheetViews>
  <sheetFormatPr defaultRowHeight="15" x14ac:dyDescent="0.25"/>
  <cols>
    <col min="1" max="1" width="10.28515625" customWidth="1"/>
    <col min="3" max="3" width="21.28515625" customWidth="1"/>
  </cols>
  <sheetData>
    <row r="1" spans="1:10" ht="26.25" x14ac:dyDescent="0.4">
      <c r="A1" s="15" t="s">
        <v>114</v>
      </c>
      <c r="F1">
        <f>SUM(F4:F500)</f>
        <v>0</v>
      </c>
      <c r="G1">
        <f>SUM(G4:G1048576)</f>
        <v>0</v>
      </c>
      <c r="H1">
        <f>F1-G1</f>
        <v>0</v>
      </c>
      <c r="J1">
        <v>105</v>
      </c>
    </row>
    <row r="3" spans="1:10" x14ac:dyDescent="0.25">
      <c r="A3" t="s">
        <v>21</v>
      </c>
      <c r="B3" t="s">
        <v>38</v>
      </c>
      <c r="C3" t="s">
        <v>26</v>
      </c>
      <c r="D3" t="s">
        <v>3</v>
      </c>
      <c r="E3" t="s">
        <v>193</v>
      </c>
      <c r="F3" t="s">
        <v>24</v>
      </c>
      <c r="G3" t="s">
        <v>25</v>
      </c>
      <c r="H3" t="s">
        <v>6</v>
      </c>
    </row>
    <row r="5" spans="1:10" x14ac:dyDescent="0.25">
      <c r="A5" s="5"/>
    </row>
    <row r="6" spans="1:10" x14ac:dyDescent="0.25">
      <c r="A6" s="5"/>
    </row>
    <row r="7" spans="1:10" x14ac:dyDescent="0.25">
      <c r="A7" s="5"/>
      <c r="I7" t="s">
        <v>197</v>
      </c>
    </row>
    <row r="18" spans="1:4" x14ac:dyDescent="0.25">
      <c r="A18" s="5"/>
    </row>
    <row r="20" spans="1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6"/>
  <dimension ref="A1:H11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2.5703125" style="33" customWidth="1"/>
    <col min="2" max="2" width="8.85546875" style="33"/>
    <col min="3" max="3" width="27.42578125" style="33" bestFit="1" customWidth="1"/>
    <col min="4" max="5" width="8.85546875" style="33"/>
    <col min="6" max="7" width="10.28515625" style="34" bestFit="1" customWidth="1"/>
    <col min="8" max="8" width="11.710937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56</v>
      </c>
      <c r="D1" s="33">
        <v>97</v>
      </c>
      <c r="F1" s="34">
        <f>SUM(F4:F497)</f>
        <v>0</v>
      </c>
      <c r="G1" s="34">
        <f>SUM(G4:G1048576)</f>
        <v>0</v>
      </c>
      <c r="H1" s="34">
        <f>F1-G1</f>
        <v>0</v>
      </c>
    </row>
    <row r="2" spans="1:8" x14ac:dyDescent="0.25">
      <c r="A2" s="33" t="s">
        <v>0</v>
      </c>
      <c r="B2" s="33" t="s">
        <v>1</v>
      </c>
      <c r="C2" s="33" t="s">
        <v>2</v>
      </c>
      <c r="D2" s="33" t="s">
        <v>3</v>
      </c>
      <c r="E2" s="33" t="s">
        <v>193</v>
      </c>
      <c r="F2" s="34" t="s">
        <v>11</v>
      </c>
      <c r="G2" s="34" t="s">
        <v>9</v>
      </c>
      <c r="H2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ht="15" customHeight="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6" x14ac:dyDescent="0.25">
      <c r="A97" s="35"/>
    </row>
    <row r="98" spans="1:6" x14ac:dyDescent="0.25">
      <c r="A98" s="35"/>
    </row>
    <row r="99" spans="1:6" x14ac:dyDescent="0.25">
      <c r="A99" s="35"/>
    </row>
    <row r="100" spans="1:6" x14ac:dyDescent="0.25">
      <c r="A100" s="35"/>
    </row>
    <row r="101" spans="1:6" x14ac:dyDescent="0.25">
      <c r="A101" s="35"/>
    </row>
    <row r="102" spans="1:6" x14ac:dyDescent="0.25">
      <c r="A102" s="35"/>
    </row>
    <row r="103" spans="1:6" x14ac:dyDescent="0.25">
      <c r="A103" s="72"/>
      <c r="B103" s="73"/>
      <c r="C103" s="73"/>
      <c r="D103" s="73"/>
      <c r="E103" s="73"/>
      <c r="F103" s="43"/>
    </row>
    <row r="104" spans="1:6" x14ac:dyDescent="0.25">
      <c r="A104" s="35"/>
    </row>
    <row r="105" spans="1:6" x14ac:dyDescent="0.25">
      <c r="A105" s="35"/>
    </row>
    <row r="106" spans="1:6" x14ac:dyDescent="0.25">
      <c r="A106" s="35"/>
    </row>
    <row r="107" spans="1:6" x14ac:dyDescent="0.25">
      <c r="A107" s="35"/>
    </row>
    <row r="108" spans="1:6" x14ac:dyDescent="0.25">
      <c r="A108" s="35"/>
    </row>
    <row r="109" spans="1:6" x14ac:dyDescent="0.25">
      <c r="A109" s="35"/>
    </row>
    <row r="110" spans="1:6" x14ac:dyDescent="0.25">
      <c r="A110" s="35"/>
    </row>
    <row r="111" spans="1:6" x14ac:dyDescent="0.25">
      <c r="A111" s="35"/>
    </row>
    <row r="112" spans="1:6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3"/>
  <dimension ref="A1:I93"/>
  <sheetViews>
    <sheetView workbookViewId="0">
      <selection activeCell="A33" sqref="A33"/>
    </sheetView>
  </sheetViews>
  <sheetFormatPr defaultRowHeight="15" x14ac:dyDescent="0.25"/>
  <cols>
    <col min="1" max="1" width="10.140625" customWidth="1"/>
    <col min="2" max="2" width="7.42578125" bestFit="1" customWidth="1"/>
    <col min="3" max="3" width="15.85546875" bestFit="1" customWidth="1"/>
    <col min="4" max="4" width="8" bestFit="1" customWidth="1"/>
    <col min="5" max="5" width="10.7109375" bestFit="1" customWidth="1"/>
    <col min="6" max="7" width="13" bestFit="1" customWidth="1"/>
    <col min="8" max="8" width="8.42578125" customWidth="1"/>
  </cols>
  <sheetData>
    <row r="1" spans="1:7" ht="36" x14ac:dyDescent="0.55000000000000004">
      <c r="A1" s="7" t="s">
        <v>171</v>
      </c>
      <c r="E1">
        <f>SUM(E4:E1048576)</f>
        <v>0</v>
      </c>
      <c r="F1">
        <f>SUM(F4:F1048576)</f>
        <v>0</v>
      </c>
      <c r="G1">
        <f>E1-F1</f>
        <v>0</v>
      </c>
    </row>
    <row r="2" spans="1:7" ht="21" x14ac:dyDescent="0.35">
      <c r="A2" s="2" t="s">
        <v>0</v>
      </c>
      <c r="B2" s="2" t="s">
        <v>1</v>
      </c>
      <c r="C2" s="2" t="s">
        <v>12</v>
      </c>
      <c r="D2" s="2" t="s">
        <v>3</v>
      </c>
      <c r="E2" s="2" t="s">
        <v>11</v>
      </c>
      <c r="F2" s="2" t="s">
        <v>13</v>
      </c>
      <c r="G2" s="2" t="s">
        <v>6</v>
      </c>
    </row>
    <row r="3" spans="1:7" ht="21" x14ac:dyDescent="0.35">
      <c r="A3" s="2"/>
      <c r="B3" s="2"/>
      <c r="C3" s="2"/>
      <c r="D3" s="2"/>
      <c r="E3" s="2"/>
      <c r="F3" s="2"/>
      <c r="G3" s="2"/>
    </row>
    <row r="4" spans="1:7" x14ac:dyDescent="0.25">
      <c r="A4" s="5"/>
    </row>
    <row r="5" spans="1:7" x14ac:dyDescent="0.25">
      <c r="A5" s="5"/>
    </row>
    <row r="6" spans="1:7" x14ac:dyDescent="0.25">
      <c r="A6" s="5"/>
    </row>
    <row r="7" spans="1:7" x14ac:dyDescent="0.25">
      <c r="A7" s="5"/>
    </row>
    <row r="8" spans="1:7" x14ac:dyDescent="0.25">
      <c r="A8" s="5"/>
    </row>
    <row r="9" spans="1:7" x14ac:dyDescent="0.25">
      <c r="A9" s="5"/>
    </row>
    <row r="10" spans="1:7" x14ac:dyDescent="0.25">
      <c r="A10" s="5"/>
    </row>
    <row r="11" spans="1:7" x14ac:dyDescent="0.25">
      <c r="A11" s="5"/>
    </row>
    <row r="12" spans="1:7" x14ac:dyDescent="0.25">
      <c r="A12" s="5"/>
    </row>
    <row r="13" spans="1:7" x14ac:dyDescent="0.25">
      <c r="A13" s="5"/>
    </row>
    <row r="14" spans="1:7" x14ac:dyDescent="0.25">
      <c r="A14" s="5"/>
    </row>
    <row r="15" spans="1:7" x14ac:dyDescent="0.25">
      <c r="A15" s="5"/>
    </row>
    <row r="16" spans="1:7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  <c r="D28" s="18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9" x14ac:dyDescent="0.25">
      <c r="A33" s="35"/>
    </row>
    <row r="34" spans="1:9" x14ac:dyDescent="0.25">
      <c r="A34" s="5"/>
    </row>
    <row r="35" spans="1:9" x14ac:dyDescent="0.25">
      <c r="A35" s="5"/>
    </row>
    <row r="36" spans="1:9" x14ac:dyDescent="0.25">
      <c r="A36" s="5"/>
    </row>
    <row r="37" spans="1:9" x14ac:dyDescent="0.25">
      <c r="A37" s="5"/>
    </row>
    <row r="38" spans="1:9" x14ac:dyDescent="0.25">
      <c r="A38" s="5"/>
      <c r="I38" s="10"/>
    </row>
    <row r="39" spans="1:9" x14ac:dyDescent="0.25">
      <c r="A39" s="5"/>
    </row>
    <row r="40" spans="1:9" x14ac:dyDescent="0.25">
      <c r="A40" s="5"/>
    </row>
    <row r="41" spans="1:9" x14ac:dyDescent="0.25">
      <c r="A41" s="5"/>
    </row>
    <row r="42" spans="1:9" x14ac:dyDescent="0.25">
      <c r="A42" s="5"/>
    </row>
    <row r="43" spans="1:9" x14ac:dyDescent="0.25">
      <c r="A43" s="5"/>
    </row>
    <row r="44" spans="1:9" x14ac:dyDescent="0.25">
      <c r="A44" s="5"/>
    </row>
    <row r="45" spans="1:9" x14ac:dyDescent="0.25">
      <c r="A45" s="5"/>
    </row>
    <row r="46" spans="1:9" x14ac:dyDescent="0.25">
      <c r="A46" s="5"/>
    </row>
    <row r="47" spans="1:9" x14ac:dyDescent="0.25">
      <c r="A47" s="5"/>
    </row>
    <row r="48" spans="1:9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</sheetData>
  <pageMargins left="0.7" right="0.7" top="0.75" bottom="0.75" header="0.3" footer="0.3"/>
  <pageSetup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5"/>
  <dimension ref="A1:J62"/>
  <sheetViews>
    <sheetView zoomScale="150" zoomScaleNormal="150" workbookViewId="0">
      <selection activeCell="A31" sqref="A31"/>
    </sheetView>
  </sheetViews>
  <sheetFormatPr defaultColWidth="8.85546875" defaultRowHeight="15" x14ac:dyDescent="0.25"/>
  <cols>
    <col min="1" max="1" width="11.42578125" style="33" customWidth="1"/>
    <col min="2" max="2" width="8.85546875" style="33"/>
    <col min="3" max="3" width="31.7109375" style="33" customWidth="1"/>
    <col min="4" max="4" width="9.140625" style="33" customWidth="1"/>
    <col min="5" max="5" width="12.140625" style="33" bestFit="1" customWidth="1"/>
    <col min="6" max="6" width="14.5703125" style="33" customWidth="1"/>
    <col min="7" max="7" width="15.140625" style="33" customWidth="1"/>
    <col min="8" max="8" width="9.140625" style="33" customWidth="1"/>
    <col min="9" max="9" width="10" style="33" bestFit="1" customWidth="1"/>
    <col min="10" max="12" width="8.85546875" style="33"/>
    <col min="13" max="13" width="8.85546875" style="33" customWidth="1"/>
    <col min="14" max="16384" width="8.85546875" style="33"/>
  </cols>
  <sheetData>
    <row r="1" spans="1:10" ht="33" x14ac:dyDescent="0.45">
      <c r="A1" s="66" t="s">
        <v>130</v>
      </c>
      <c r="F1" s="33">
        <f>SUM(F4:F500)</f>
        <v>0</v>
      </c>
      <c r="G1" s="33">
        <f>SUM(G4:G1048576)</f>
        <v>0</v>
      </c>
      <c r="H1" s="33">
        <f>F1-G1</f>
        <v>0</v>
      </c>
      <c r="J1" s="33">
        <v>113</v>
      </c>
    </row>
    <row r="2" spans="1:10" ht="20.25" x14ac:dyDescent="0.3">
      <c r="A2" s="37" t="s">
        <v>0</v>
      </c>
      <c r="B2" s="37" t="s">
        <v>1</v>
      </c>
      <c r="C2" s="37" t="s">
        <v>2</v>
      </c>
      <c r="D2" s="37" t="s">
        <v>3</v>
      </c>
      <c r="E2" s="37" t="s">
        <v>193</v>
      </c>
      <c r="F2" s="37" t="s">
        <v>11</v>
      </c>
      <c r="G2" s="37" t="s">
        <v>9</v>
      </c>
      <c r="H2" s="37" t="s">
        <v>6</v>
      </c>
    </row>
    <row r="3" spans="1:10" ht="20.25" x14ac:dyDescent="0.3">
      <c r="A3" s="37"/>
      <c r="B3" s="37"/>
      <c r="C3" s="37"/>
      <c r="D3" s="37"/>
      <c r="E3" s="37"/>
      <c r="F3" s="37"/>
      <c r="G3" s="37"/>
      <c r="H3" s="37"/>
    </row>
    <row r="4" spans="1:10" x14ac:dyDescent="0.25">
      <c r="A4" s="35"/>
    </row>
    <row r="5" spans="1:10" x14ac:dyDescent="0.25">
      <c r="A5" s="35"/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7" x14ac:dyDescent="0.25">
      <c r="A17" s="35"/>
    </row>
    <row r="18" spans="1:7" x14ac:dyDescent="0.25">
      <c r="A18" s="35"/>
    </row>
    <row r="19" spans="1:7" x14ac:dyDescent="0.25">
      <c r="A19" s="35"/>
      <c r="C19" s="39"/>
    </row>
    <row r="20" spans="1:7" x14ac:dyDescent="0.25">
      <c r="A20" s="35"/>
      <c r="D20" s="34"/>
      <c r="G20" s="34"/>
    </row>
    <row r="21" spans="1:7" x14ac:dyDescent="0.25">
      <c r="A21" s="35"/>
      <c r="C21" s="39"/>
    </row>
    <row r="22" spans="1:7" x14ac:dyDescent="0.25">
      <c r="A22" s="35"/>
      <c r="C22" s="39"/>
    </row>
    <row r="23" spans="1:7" x14ac:dyDescent="0.25">
      <c r="A23" s="35"/>
      <c r="C23" s="39"/>
    </row>
    <row r="24" spans="1:7" x14ac:dyDescent="0.25">
      <c r="A24" s="35"/>
      <c r="C24" s="39"/>
    </row>
    <row r="25" spans="1:7" x14ac:dyDescent="0.25">
      <c r="A25" s="35"/>
      <c r="C25" s="39"/>
    </row>
    <row r="26" spans="1:7" x14ac:dyDescent="0.25">
      <c r="A26" s="35"/>
      <c r="C26" s="39"/>
    </row>
    <row r="27" spans="1:7" x14ac:dyDescent="0.25">
      <c r="A27" s="35"/>
      <c r="C27" s="39"/>
    </row>
    <row r="28" spans="1:7" x14ac:dyDescent="0.25">
      <c r="A28" s="35"/>
      <c r="C28" s="39"/>
    </row>
    <row r="29" spans="1:7" x14ac:dyDescent="0.25">
      <c r="A29" s="35"/>
      <c r="C29" s="39"/>
    </row>
    <row r="30" spans="1:7" x14ac:dyDescent="0.25">
      <c r="A30" s="35"/>
      <c r="C30" s="39"/>
    </row>
    <row r="31" spans="1:7" x14ac:dyDescent="0.25">
      <c r="A31" s="35"/>
      <c r="C31" s="39"/>
    </row>
    <row r="32" spans="1:7" x14ac:dyDescent="0.25">
      <c r="A32" s="35"/>
      <c r="C32" s="39"/>
    </row>
    <row r="33" spans="1:10" x14ac:dyDescent="0.25">
      <c r="A33" s="35"/>
      <c r="C33" s="39"/>
    </row>
    <row r="34" spans="1:10" x14ac:dyDescent="0.25">
      <c r="A34" s="35"/>
      <c r="C34" s="39"/>
      <c r="J34" s="68"/>
    </row>
    <row r="35" spans="1:10" x14ac:dyDescent="0.25">
      <c r="A35" s="35"/>
      <c r="C35" s="39"/>
    </row>
    <row r="36" spans="1:10" x14ac:dyDescent="0.25">
      <c r="A36" s="35"/>
      <c r="C36" s="39"/>
    </row>
    <row r="37" spans="1:10" x14ac:dyDescent="0.25">
      <c r="A37" s="35"/>
      <c r="C37" s="39"/>
    </row>
    <row r="38" spans="1:10" x14ac:dyDescent="0.25">
      <c r="A38" s="35"/>
      <c r="C38" s="39"/>
    </row>
    <row r="39" spans="1:10" x14ac:dyDescent="0.25">
      <c r="A39" s="35"/>
      <c r="C39" s="39"/>
    </row>
    <row r="40" spans="1:10" x14ac:dyDescent="0.25">
      <c r="A40" s="35"/>
      <c r="C40" s="39"/>
    </row>
    <row r="41" spans="1:10" x14ac:dyDescent="0.25">
      <c r="A41" s="35"/>
      <c r="C41" s="39"/>
    </row>
    <row r="42" spans="1:10" x14ac:dyDescent="0.25">
      <c r="A42" s="35"/>
      <c r="C42" s="39"/>
    </row>
    <row r="43" spans="1:10" x14ac:dyDescent="0.25">
      <c r="A43" s="35"/>
      <c r="C43" s="39"/>
    </row>
    <row r="44" spans="1:10" x14ac:dyDescent="0.25">
      <c r="A44" s="35"/>
      <c r="C44" s="39"/>
    </row>
    <row r="45" spans="1:10" x14ac:dyDescent="0.25">
      <c r="A45" s="35"/>
    </row>
    <row r="46" spans="1:10" x14ac:dyDescent="0.25">
      <c r="A46" s="35"/>
    </row>
    <row r="47" spans="1:10" x14ac:dyDescent="0.25">
      <c r="A47" s="35"/>
    </row>
    <row r="48" spans="1:10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ht="18" customHeight="1" x14ac:dyDescent="0.25">
      <c r="A55" s="35"/>
    </row>
    <row r="56" spans="1:1" ht="14.45" customHeight="1" x14ac:dyDescent="0.25">
      <c r="A56" s="35"/>
    </row>
    <row r="57" spans="1:1" ht="19.149999999999999" customHeight="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8"/>
  <dimension ref="A1:H136"/>
  <sheetViews>
    <sheetView zoomScale="150" zoomScaleNormal="150" workbookViewId="0">
      <selection activeCell="A4" sqref="A4"/>
    </sheetView>
  </sheetViews>
  <sheetFormatPr defaultColWidth="8.85546875" defaultRowHeight="15" x14ac:dyDescent="0.25"/>
  <cols>
    <col min="1" max="1" width="10.5703125" style="33" customWidth="1"/>
    <col min="2" max="2" width="8.85546875" style="33"/>
    <col min="3" max="3" width="20.42578125" style="33" customWidth="1"/>
    <col min="4" max="5" width="8.85546875" style="33"/>
    <col min="6" max="6" width="11.85546875" style="33" customWidth="1"/>
    <col min="7" max="7" width="11.7109375" style="33" customWidth="1"/>
    <col min="8" max="8" width="13.28515625" style="33" customWidth="1"/>
    <col min="9" max="10" width="12" style="33" bestFit="1" customWidth="1"/>
    <col min="11" max="16384" width="8.85546875" style="33"/>
  </cols>
  <sheetData>
    <row r="1" spans="1:8" ht="25.5" x14ac:dyDescent="0.35">
      <c r="A1" s="52" t="s">
        <v>57</v>
      </c>
      <c r="D1" s="33">
        <v>67</v>
      </c>
      <c r="F1" s="33">
        <f>SUM(F4:F501)</f>
        <v>0</v>
      </c>
      <c r="G1" s="33">
        <f>SUM(G4:G1048576)</f>
        <v>0</v>
      </c>
      <c r="H1" s="33">
        <f>F1-G1</f>
        <v>0</v>
      </c>
    </row>
    <row r="2" spans="1:8" ht="20.25" x14ac:dyDescent="0.3">
      <c r="A2" s="33" t="s">
        <v>0</v>
      </c>
      <c r="B2" s="33" t="s">
        <v>1</v>
      </c>
      <c r="C2" s="33" t="s">
        <v>205</v>
      </c>
      <c r="D2" s="33" t="s">
        <v>3</v>
      </c>
      <c r="E2" s="33" t="s">
        <v>193</v>
      </c>
      <c r="F2" s="33" t="s">
        <v>11</v>
      </c>
      <c r="G2" s="33" t="s">
        <v>9</v>
      </c>
      <c r="H2" s="33" t="s">
        <v>6</v>
      </c>
    </row>
    <row r="4" spans="1:8" x14ac:dyDescent="0.25">
      <c r="A4" s="35"/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68"/>
  <dimension ref="A1:K26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42578125" style="33" customWidth="1"/>
    <col min="2" max="2" width="8.85546875" style="33"/>
    <col min="3" max="3" width="33.85546875" style="33" bestFit="1" customWidth="1"/>
    <col min="4" max="5" width="8.85546875" style="33"/>
    <col min="6" max="7" width="10.28515625" style="34" bestFit="1" customWidth="1"/>
    <col min="8" max="8" width="15.28515625" style="34" bestFit="1" customWidth="1"/>
    <col min="9" max="9" width="10" style="33" bestFit="1" customWidth="1"/>
    <col min="10" max="16384" width="8.85546875" style="33"/>
  </cols>
  <sheetData>
    <row r="1" spans="1:11" ht="25.5" x14ac:dyDescent="0.35">
      <c r="A1" s="52" t="s">
        <v>161</v>
      </c>
      <c r="D1" s="33">
        <v>117</v>
      </c>
      <c r="F1" s="34">
        <f>SUM(F4:F500)</f>
        <v>0</v>
      </c>
      <c r="G1" s="34">
        <f>SUM(G4:G1048576)</f>
        <v>0</v>
      </c>
      <c r="H1" s="34">
        <f>F1-G1</f>
        <v>0</v>
      </c>
      <c r="K1" s="33" t="s">
        <v>162</v>
      </c>
    </row>
    <row r="3" spans="1:11" x14ac:dyDescent="0.25">
      <c r="A3" s="33" t="s">
        <v>21</v>
      </c>
      <c r="B3" s="33" t="s">
        <v>38</v>
      </c>
      <c r="C3" s="33" t="s">
        <v>43</v>
      </c>
      <c r="D3" s="33" t="s">
        <v>3</v>
      </c>
      <c r="E3" s="33" t="s">
        <v>193</v>
      </c>
      <c r="F3" s="34" t="s">
        <v>24</v>
      </c>
      <c r="G3" s="34" t="s">
        <v>25</v>
      </c>
      <c r="H3" s="34" t="s">
        <v>6</v>
      </c>
    </row>
    <row r="6" spans="1:11" x14ac:dyDescent="0.25">
      <c r="A6" s="35"/>
    </row>
    <row r="7" spans="1:11" x14ac:dyDescent="0.25">
      <c r="A7" s="35"/>
    </row>
    <row r="8" spans="1:11" x14ac:dyDescent="0.25">
      <c r="A8" s="35"/>
    </row>
    <row r="9" spans="1:11" x14ac:dyDescent="0.25">
      <c r="A9" s="35"/>
    </row>
    <row r="10" spans="1:11" x14ac:dyDescent="0.25">
      <c r="A10" s="35"/>
    </row>
    <row r="11" spans="1:11" x14ac:dyDescent="0.25">
      <c r="A11" s="35"/>
    </row>
    <row r="12" spans="1:11" x14ac:dyDescent="0.25">
      <c r="A12" s="35"/>
    </row>
    <row r="13" spans="1:11" x14ac:dyDescent="0.25">
      <c r="A13" s="35"/>
    </row>
    <row r="14" spans="1:11" ht="16.149999999999999" customHeight="1" x14ac:dyDescent="0.25">
      <c r="A14" s="35"/>
    </row>
    <row r="15" spans="1:11" x14ac:dyDescent="0.25">
      <c r="A15" s="35"/>
    </row>
    <row r="16" spans="1:11" x14ac:dyDescent="0.25">
      <c r="A16" s="35"/>
    </row>
    <row r="17" spans="1:9" x14ac:dyDescent="0.25">
      <c r="A17" s="35"/>
      <c r="I17" s="33" t="s">
        <v>197</v>
      </c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x14ac:dyDescent="0.25">
      <c r="A25" s="35"/>
      <c r="I25" s="33" t="s">
        <v>197</v>
      </c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ht="16.149999999999999" customHeight="1" x14ac:dyDescent="0.25">
      <c r="A32" s="35"/>
    </row>
    <row r="33" spans="1:4" x14ac:dyDescent="0.25">
      <c r="A33" s="35"/>
      <c r="D33" s="34"/>
    </row>
    <row r="34" spans="1:4" x14ac:dyDescent="0.25">
      <c r="A34" s="35"/>
    </row>
    <row r="35" spans="1:4" x14ac:dyDescent="0.25">
      <c r="A35" s="35"/>
    </row>
    <row r="36" spans="1:4" x14ac:dyDescent="0.25">
      <c r="A36" s="35"/>
    </row>
    <row r="37" spans="1:4" x14ac:dyDescent="0.25">
      <c r="A37" s="35"/>
    </row>
    <row r="38" spans="1:4" x14ac:dyDescent="0.25">
      <c r="A38" s="35"/>
    </row>
    <row r="39" spans="1:4" x14ac:dyDescent="0.25">
      <c r="A39" s="35"/>
    </row>
    <row r="40" spans="1:4" x14ac:dyDescent="0.25">
      <c r="A40" s="35"/>
    </row>
    <row r="41" spans="1:4" x14ac:dyDescent="0.25">
      <c r="A41" s="35"/>
    </row>
    <row r="42" spans="1:4" x14ac:dyDescent="0.25">
      <c r="A42" s="35"/>
    </row>
    <row r="43" spans="1:4" x14ac:dyDescent="0.25">
      <c r="A43" s="35"/>
    </row>
    <row r="44" spans="1:4" x14ac:dyDescent="0.25">
      <c r="A44" s="35"/>
    </row>
    <row r="45" spans="1:4" x14ac:dyDescent="0.25">
      <c r="A45" s="35"/>
    </row>
    <row r="46" spans="1:4" x14ac:dyDescent="0.25">
      <c r="A46" s="35"/>
    </row>
    <row r="47" spans="1:4" x14ac:dyDescent="0.25">
      <c r="A47" s="35"/>
    </row>
    <row r="48" spans="1:4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69"/>
  <dimension ref="A1:I8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33" customWidth="1"/>
    <col min="2" max="2" width="8.85546875" style="33"/>
    <col min="3" max="3" width="30.7109375" style="33" bestFit="1" customWidth="1"/>
    <col min="4" max="6" width="8.85546875" style="33"/>
    <col min="7" max="7" width="10.28515625" style="34" bestFit="1" customWidth="1"/>
    <col min="8" max="8" width="8.7109375" style="77" bestFit="1" customWidth="1"/>
    <col min="9" max="9" width="10" style="33" bestFit="1" customWidth="1"/>
    <col min="10" max="16384" width="8.85546875" style="33"/>
  </cols>
  <sheetData>
    <row r="1" spans="1:9" ht="25.5" x14ac:dyDescent="0.35">
      <c r="A1" s="52" t="s">
        <v>58</v>
      </c>
      <c r="F1" s="33">
        <f>SUM(F4:F500)</f>
        <v>0</v>
      </c>
      <c r="G1" s="34">
        <f>SUM(G4:G1048576)</f>
        <v>0</v>
      </c>
      <c r="H1" s="77">
        <f>F1-G1</f>
        <v>0</v>
      </c>
      <c r="I1" s="33">
        <v>115</v>
      </c>
    </row>
    <row r="3" spans="1:9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77" t="s">
        <v>6</v>
      </c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7" x14ac:dyDescent="0.25">
      <c r="A17" s="35"/>
      <c r="G17" s="33"/>
    </row>
    <row r="18" spans="1:7" x14ac:dyDescent="0.25">
      <c r="A18" s="35"/>
    </row>
    <row r="19" spans="1:7" x14ac:dyDescent="0.25">
      <c r="A19" s="35"/>
    </row>
    <row r="20" spans="1:7" x14ac:dyDescent="0.25">
      <c r="A20" s="35"/>
    </row>
    <row r="21" spans="1:7" x14ac:dyDescent="0.25">
      <c r="A21" s="35"/>
    </row>
    <row r="22" spans="1:7" x14ac:dyDescent="0.25">
      <c r="A22" s="35"/>
    </row>
    <row r="23" spans="1:7" ht="20.25" customHeight="1" x14ac:dyDescent="0.25">
      <c r="A23" s="35"/>
    </row>
    <row r="24" spans="1:7" x14ac:dyDescent="0.25">
      <c r="A24" s="35"/>
    </row>
    <row r="25" spans="1:7" x14ac:dyDescent="0.25">
      <c r="A25" s="35"/>
    </row>
    <row r="26" spans="1:7" x14ac:dyDescent="0.25">
      <c r="A26" s="35"/>
    </row>
    <row r="27" spans="1:7" x14ac:dyDescent="0.25">
      <c r="A27" s="35"/>
    </row>
    <row r="28" spans="1:7" x14ac:dyDescent="0.25">
      <c r="A28" s="35"/>
    </row>
    <row r="29" spans="1:7" x14ac:dyDescent="0.25">
      <c r="A29" s="35"/>
    </row>
    <row r="30" spans="1:7" x14ac:dyDescent="0.25">
      <c r="A30" s="35"/>
    </row>
    <row r="31" spans="1:7" x14ac:dyDescent="0.25">
      <c r="A31" s="35"/>
    </row>
    <row r="32" spans="1:7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70"/>
  <dimension ref="A1:J140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5703125" style="33" customWidth="1"/>
    <col min="2" max="2" width="9" style="33" bestFit="1" customWidth="1"/>
    <col min="3" max="3" width="20" style="33" customWidth="1"/>
    <col min="4" max="6" width="9" style="33" bestFit="1" customWidth="1"/>
    <col min="7" max="7" width="10.5703125" style="34" bestFit="1" customWidth="1"/>
    <col min="8" max="8" width="11.28515625" style="34" bestFit="1" customWidth="1"/>
    <col min="9" max="16384" width="8.85546875" style="33"/>
  </cols>
  <sheetData>
    <row r="1" spans="1:10" ht="25.5" x14ac:dyDescent="0.35">
      <c r="A1" s="52" t="s">
        <v>115</v>
      </c>
      <c r="D1" s="33">
        <v>109</v>
      </c>
      <c r="F1" s="33">
        <f>SUM(F4:F497)</f>
        <v>0</v>
      </c>
      <c r="G1" s="34">
        <f>SUM(G4:G1048576)</f>
        <v>0</v>
      </c>
      <c r="H1" s="34">
        <f>F1-G1</f>
        <v>0</v>
      </c>
    </row>
    <row r="3" spans="1:10" x14ac:dyDescent="0.25">
      <c r="A3" s="33" t="s">
        <v>21</v>
      </c>
      <c r="B3" s="33" t="s">
        <v>32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  <c r="J3" s="33" t="s">
        <v>73</v>
      </c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</row>
    <row r="23" spans="1:6" x14ac:dyDescent="0.25">
      <c r="A23" s="35"/>
    </row>
    <row r="24" spans="1:6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</row>
    <row r="28" spans="1:6" x14ac:dyDescent="0.25">
      <c r="A28" s="35"/>
    </row>
    <row r="29" spans="1:6" x14ac:dyDescent="0.25">
      <c r="A29" s="35"/>
    </row>
    <row r="30" spans="1:6" x14ac:dyDescent="0.25">
      <c r="A30" s="35"/>
    </row>
    <row r="31" spans="1:6" x14ac:dyDescent="0.25">
      <c r="A31" s="35"/>
    </row>
    <row r="32" spans="1:6" x14ac:dyDescent="0.25">
      <c r="A32" s="35"/>
      <c r="F32" s="34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71"/>
  <dimension ref="A1:J91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0.42578125" style="33" customWidth="1"/>
    <col min="2" max="2" width="9.7109375" style="33" bestFit="1" customWidth="1"/>
    <col min="3" max="3" width="29" style="33" bestFit="1" customWidth="1"/>
    <col min="4" max="5" width="9" style="33" bestFit="1" customWidth="1"/>
    <col min="6" max="6" width="9.28515625" style="33" bestFit="1" customWidth="1"/>
    <col min="7" max="8" width="11.42578125" style="34" bestFit="1" customWidth="1"/>
    <col min="9" max="9" width="12" style="33" bestFit="1" customWidth="1"/>
    <col min="10" max="10" width="9" style="33" bestFit="1" customWidth="1"/>
    <col min="11" max="11" width="12" style="33" bestFit="1" customWidth="1"/>
    <col min="12" max="16384" width="8.85546875" style="33"/>
  </cols>
  <sheetData>
    <row r="1" spans="1:10" ht="25.5" x14ac:dyDescent="0.35">
      <c r="A1" s="52" t="s">
        <v>118</v>
      </c>
      <c r="F1" s="33">
        <f>SUM(F4:F499)</f>
        <v>0</v>
      </c>
      <c r="G1" s="34">
        <f>SUM(G4:G1048576)</f>
        <v>0</v>
      </c>
      <c r="H1" s="34">
        <f>F1-G1</f>
        <v>0</v>
      </c>
      <c r="J1" s="33">
        <v>63</v>
      </c>
    </row>
    <row r="2" spans="1:10" x14ac:dyDescent="0.25">
      <c r="A2" s="33" t="s">
        <v>21</v>
      </c>
      <c r="B2" s="33" t="s">
        <v>38</v>
      </c>
      <c r="C2" s="33" t="s">
        <v>26</v>
      </c>
      <c r="D2" s="33" t="s">
        <v>3</v>
      </c>
      <c r="E2" s="33" t="s">
        <v>193</v>
      </c>
      <c r="F2" s="33" t="s">
        <v>24</v>
      </c>
      <c r="G2" s="34" t="s">
        <v>25</v>
      </c>
      <c r="H2" s="34" t="s">
        <v>6</v>
      </c>
    </row>
    <row r="5" spans="1:10" x14ac:dyDescent="0.25">
      <c r="A5" s="35"/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6" x14ac:dyDescent="0.25">
      <c r="A33" s="35"/>
    </row>
    <row r="34" spans="1:6" x14ac:dyDescent="0.25">
      <c r="A34" s="35"/>
    </row>
    <row r="35" spans="1:6" x14ac:dyDescent="0.25">
      <c r="A35" s="35"/>
    </row>
    <row r="36" spans="1:6" x14ac:dyDescent="0.25">
      <c r="A36" s="35"/>
    </row>
    <row r="37" spans="1:6" x14ac:dyDescent="0.25">
      <c r="A37" s="35"/>
    </row>
    <row r="38" spans="1:6" x14ac:dyDescent="0.25">
      <c r="A38" s="35"/>
    </row>
    <row r="39" spans="1:6" x14ac:dyDescent="0.25">
      <c r="A39" s="35"/>
    </row>
    <row r="40" spans="1:6" x14ac:dyDescent="0.25">
      <c r="A40" s="35"/>
    </row>
    <row r="41" spans="1:6" x14ac:dyDescent="0.25">
      <c r="A41" s="35"/>
    </row>
    <row r="42" spans="1:6" x14ac:dyDescent="0.25">
      <c r="A42" s="35"/>
    </row>
    <row r="43" spans="1:6" x14ac:dyDescent="0.25">
      <c r="A43" s="35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7" x14ac:dyDescent="0.25">
      <c r="A49" s="35"/>
      <c r="F49" s="34"/>
    </row>
    <row r="50" spans="1:7" x14ac:dyDescent="0.25">
      <c r="A50" s="35"/>
      <c r="F50" s="34"/>
    </row>
    <row r="51" spans="1:7" x14ac:dyDescent="0.25">
      <c r="A51" s="35"/>
      <c r="F51" s="34"/>
    </row>
    <row r="52" spans="1:7" x14ac:dyDescent="0.25">
      <c r="A52" s="35"/>
      <c r="F52" s="34"/>
    </row>
    <row r="53" spans="1:7" x14ac:dyDescent="0.25">
      <c r="A53" s="35"/>
      <c r="F53" s="34"/>
    </row>
    <row r="54" spans="1:7" x14ac:dyDescent="0.25">
      <c r="A54" s="35"/>
      <c r="F54" s="34"/>
    </row>
    <row r="55" spans="1:7" x14ac:dyDescent="0.25">
      <c r="A55" s="35"/>
      <c r="F55" s="34"/>
    </row>
    <row r="56" spans="1:7" x14ac:dyDescent="0.25">
      <c r="A56" s="35"/>
      <c r="F56" s="34"/>
    </row>
    <row r="57" spans="1:7" ht="15.75" x14ac:dyDescent="0.25">
      <c r="A57" s="35"/>
      <c r="F57" s="34"/>
      <c r="G57" s="60"/>
    </row>
    <row r="58" spans="1:7" x14ac:dyDescent="0.25">
      <c r="A58" s="35"/>
      <c r="F58" s="34"/>
    </row>
    <row r="59" spans="1:7" x14ac:dyDescent="0.25">
      <c r="A59" s="35"/>
      <c r="F59" s="34"/>
    </row>
    <row r="60" spans="1:7" x14ac:dyDescent="0.25">
      <c r="A60" s="35"/>
      <c r="F60" s="34"/>
    </row>
    <row r="61" spans="1:7" x14ac:dyDescent="0.25">
      <c r="A61" s="35"/>
      <c r="F61" s="34"/>
    </row>
    <row r="62" spans="1:7" x14ac:dyDescent="0.25">
      <c r="A62" s="35"/>
      <c r="F62" s="34"/>
    </row>
    <row r="63" spans="1:7" x14ac:dyDescent="0.25">
      <c r="A63" s="35"/>
      <c r="F63" s="34"/>
    </row>
    <row r="64" spans="1:7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</row>
    <row r="89" spans="1:6" x14ac:dyDescent="0.25">
      <c r="A89" s="35"/>
    </row>
    <row r="90" spans="1:6" x14ac:dyDescent="0.25">
      <c r="A90" s="35"/>
    </row>
    <row r="91" spans="1:6" x14ac:dyDescent="0.25">
      <c r="A91" s="35"/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72"/>
  <dimension ref="A1:K33"/>
  <sheetViews>
    <sheetView workbookViewId="0">
      <selection activeCell="A33" sqref="A33"/>
    </sheetView>
  </sheetViews>
  <sheetFormatPr defaultRowHeight="15" x14ac:dyDescent="0.25"/>
  <cols>
    <col min="1" max="1" width="14" customWidth="1"/>
    <col min="3" max="3" width="22.28515625" customWidth="1"/>
    <col min="11" max="11" width="10.5703125" customWidth="1"/>
  </cols>
  <sheetData>
    <row r="1" spans="1:7" ht="26.25" x14ac:dyDescent="0.4">
      <c r="A1" s="15" t="s">
        <v>165</v>
      </c>
      <c r="E1">
        <f>SUM(E4:E500)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85</v>
      </c>
      <c r="C3" t="s">
        <v>7</v>
      </c>
      <c r="D3" t="s">
        <v>18</v>
      </c>
      <c r="E3" t="s">
        <v>11</v>
      </c>
      <c r="F3" t="s">
        <v>9</v>
      </c>
      <c r="G3" t="s">
        <v>6</v>
      </c>
    </row>
    <row r="20" spans="4:11" x14ac:dyDescent="0.25">
      <c r="D20" s="33"/>
    </row>
    <row r="31" spans="4:11" ht="18.75" x14ac:dyDescent="0.3">
      <c r="K31" s="4"/>
    </row>
    <row r="33" spans="1:1" x14ac:dyDescent="0.25">
      <c r="A33" s="33"/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73"/>
  <dimension ref="A1:J189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28515625" style="33" customWidth="1"/>
    <col min="2" max="2" width="9" style="33" bestFit="1" customWidth="1"/>
    <col min="3" max="3" width="26.85546875" style="33" bestFit="1" customWidth="1"/>
    <col min="4" max="6" width="9" style="33" bestFit="1" customWidth="1"/>
    <col min="7" max="7" width="10.42578125" style="34" bestFit="1" customWidth="1"/>
    <col min="8" max="8" width="11.140625" style="34" bestFit="1" customWidth="1"/>
    <col min="9" max="9" width="12" style="33" bestFit="1" customWidth="1"/>
    <col min="10" max="10" width="9" style="33" bestFit="1" customWidth="1"/>
    <col min="11" max="16384" width="8.85546875" style="33"/>
  </cols>
  <sheetData>
    <row r="1" spans="1:10" ht="25.5" x14ac:dyDescent="0.35">
      <c r="A1" s="52" t="s">
        <v>116</v>
      </c>
      <c r="F1" s="33">
        <f>SUM(F4:F500)</f>
        <v>0</v>
      </c>
      <c r="G1" s="34">
        <f>SUM(G4:G1048576)</f>
        <v>0</v>
      </c>
      <c r="H1" s="34">
        <f>F1-G1</f>
        <v>0</v>
      </c>
      <c r="J1" s="33">
        <v>121</v>
      </c>
    </row>
    <row r="3" spans="1:10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6" x14ac:dyDescent="0.25">
      <c r="A49" s="35"/>
    </row>
    <row r="50" spans="1:6" x14ac:dyDescent="0.25">
      <c r="A50" s="35"/>
    </row>
    <row r="51" spans="1:6" x14ac:dyDescent="0.25">
      <c r="A51" s="35"/>
      <c r="F51" s="34"/>
    </row>
    <row r="52" spans="1:6" x14ac:dyDescent="0.25">
      <c r="A52" s="35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</row>
    <row r="108" spans="1:6" x14ac:dyDescent="0.25">
      <c r="A108" s="35"/>
    </row>
    <row r="109" spans="1:6" x14ac:dyDescent="0.25">
      <c r="A109" s="35"/>
    </row>
    <row r="110" spans="1:6" x14ac:dyDescent="0.25">
      <c r="A110" s="35"/>
    </row>
    <row r="111" spans="1:6" x14ac:dyDescent="0.25">
      <c r="A111" s="35"/>
    </row>
    <row r="112" spans="1:6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</sheetData>
  <phoneticPr fontId="21" type="noConversion"/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74"/>
  <dimension ref="A1:I769"/>
  <sheetViews>
    <sheetView workbookViewId="0">
      <selection activeCell="A33" sqref="A33"/>
    </sheetView>
  </sheetViews>
  <sheetFormatPr defaultRowHeight="15" x14ac:dyDescent="0.25"/>
  <cols>
    <col min="1" max="1" width="14" bestFit="1" customWidth="1"/>
    <col min="3" max="3" width="20" customWidth="1"/>
    <col min="8" max="8" width="11" bestFit="1" customWidth="1"/>
  </cols>
  <sheetData>
    <row r="1" spans="1:9" ht="26.25" x14ac:dyDescent="0.4">
      <c r="A1" s="15" t="s">
        <v>50</v>
      </c>
      <c r="D1">
        <v>59</v>
      </c>
      <c r="E1">
        <f>SUM(E4:E500)</f>
        <v>0</v>
      </c>
      <c r="F1">
        <f>SUM(F4:F1048576)</f>
        <v>0</v>
      </c>
      <c r="G1">
        <f>E1-F1</f>
        <v>0</v>
      </c>
    </row>
    <row r="3" spans="1:9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  <c r="I3" t="s">
        <v>72</v>
      </c>
    </row>
    <row r="5" spans="1:9" x14ac:dyDescent="0.25">
      <c r="A5" t="s">
        <v>146</v>
      </c>
      <c r="B5" t="s">
        <v>147</v>
      </c>
    </row>
    <row r="6" spans="1:9" ht="23.25" x14ac:dyDescent="0.35">
      <c r="C6" s="16" t="s">
        <v>148</v>
      </c>
    </row>
    <row r="7" spans="1:9" ht="23.25" x14ac:dyDescent="0.35">
      <c r="C7" s="16" t="s">
        <v>149</v>
      </c>
    </row>
    <row r="8" spans="1:9" ht="23.25" x14ac:dyDescent="0.35">
      <c r="C8" s="16" t="s">
        <v>150</v>
      </c>
    </row>
    <row r="20" spans="4:4" x14ac:dyDescent="0.25">
      <c r="D20" s="33"/>
    </row>
    <row r="33" spans="1:1" x14ac:dyDescent="0.25">
      <c r="A33" s="33"/>
    </row>
    <row r="151" customFormat="1" x14ac:dyDescent="0.25"/>
    <row r="766" spans="1:8" x14ac:dyDescent="0.25">
      <c r="D766" t="s">
        <v>163</v>
      </c>
      <c r="E766">
        <v>400000</v>
      </c>
      <c r="H766">
        <v>24439903</v>
      </c>
    </row>
    <row r="767" spans="1:8" x14ac:dyDescent="0.25">
      <c r="A767" t="s">
        <v>167</v>
      </c>
      <c r="B767">
        <v>219</v>
      </c>
      <c r="C767" t="s">
        <v>158</v>
      </c>
      <c r="D767" t="s">
        <v>156</v>
      </c>
      <c r="E767">
        <v>167900</v>
      </c>
      <c r="H767">
        <v>38.799999999999997</v>
      </c>
    </row>
    <row r="768" spans="1:8" x14ac:dyDescent="0.25">
      <c r="A768" t="s">
        <v>167</v>
      </c>
      <c r="B768">
        <v>219</v>
      </c>
      <c r="C768" t="s">
        <v>158</v>
      </c>
      <c r="D768" t="s">
        <v>156</v>
      </c>
      <c r="E768">
        <v>480000</v>
      </c>
      <c r="H768">
        <v>210</v>
      </c>
    </row>
    <row r="769" spans="1:8" x14ac:dyDescent="0.25">
      <c r="A769" t="s">
        <v>167</v>
      </c>
      <c r="B769">
        <v>219</v>
      </c>
      <c r="C769" t="s">
        <v>159</v>
      </c>
      <c r="D769" t="s">
        <v>156</v>
      </c>
      <c r="E769">
        <v>148000</v>
      </c>
      <c r="H769">
        <v>1824091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7"/>
  <dimension ref="A1:H33"/>
  <sheetViews>
    <sheetView workbookViewId="0">
      <selection activeCell="A33" sqref="A33"/>
    </sheetView>
  </sheetViews>
  <sheetFormatPr defaultRowHeight="15" x14ac:dyDescent="0.25"/>
  <cols>
    <col min="1" max="1" width="9.5703125" bestFit="1" customWidth="1"/>
    <col min="3" max="3" width="18" customWidth="1"/>
  </cols>
  <sheetData>
    <row r="1" spans="1:8" ht="26.25" x14ac:dyDescent="0.4">
      <c r="A1" s="15" t="s">
        <v>37</v>
      </c>
      <c r="D1">
        <f>SUM(D4:D1048576)</f>
        <v>0</v>
      </c>
      <c r="E1">
        <f>SUM(E4:E1048576)</f>
        <v>0</v>
      </c>
      <c r="F1">
        <f>D1-E1</f>
        <v>0</v>
      </c>
      <c r="H1">
        <v>136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6</v>
      </c>
    </row>
    <row r="4" spans="1:8" x14ac:dyDescent="0.25">
      <c r="A4" s="5"/>
    </row>
    <row r="5" spans="1:8" x14ac:dyDescent="0.25">
      <c r="F5">
        <f>D5-E5+F4</f>
        <v>0</v>
      </c>
    </row>
    <row r="6" spans="1:8" x14ac:dyDescent="0.25">
      <c r="F6">
        <f t="shared" ref="F6:F7" si="0">D6-E6+F5</f>
        <v>0</v>
      </c>
    </row>
    <row r="7" spans="1:8" x14ac:dyDescent="0.25">
      <c r="F7">
        <f t="shared" si="0"/>
        <v>0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21"/>
  <dimension ref="A1:H76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0.7109375" style="33" customWidth="1"/>
    <col min="2" max="2" width="8.85546875" style="33"/>
    <col min="3" max="3" width="29.5703125" style="33" bestFit="1" customWidth="1"/>
    <col min="4" max="6" width="8.85546875" style="33"/>
    <col min="7" max="8" width="10.2851562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59</v>
      </c>
      <c r="D1" s="33">
        <v>133</v>
      </c>
      <c r="F1" s="33">
        <f>SUM(F4:F500)</f>
        <v>0</v>
      </c>
      <c r="G1" s="34">
        <f>SUM(G4:G1048576)</f>
        <v>0</v>
      </c>
      <c r="H1" s="34">
        <f>F1-G1</f>
        <v>0</v>
      </c>
    </row>
    <row r="2" spans="1:8" ht="20.25" x14ac:dyDescent="0.3">
      <c r="A2" s="33" t="s">
        <v>0</v>
      </c>
      <c r="B2" s="33" t="s">
        <v>202</v>
      </c>
      <c r="C2" s="33" t="s">
        <v>7</v>
      </c>
      <c r="D2" s="33" t="s">
        <v>3</v>
      </c>
      <c r="E2" s="33" t="s">
        <v>193</v>
      </c>
      <c r="F2" s="33" t="s">
        <v>11</v>
      </c>
      <c r="G2" s="34" t="s">
        <v>9</v>
      </c>
      <c r="H2" s="34" t="s">
        <v>6</v>
      </c>
    </row>
    <row r="4" spans="1:8" ht="16.5" customHeight="1" x14ac:dyDescent="0.25"/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ht="19.899999999999999" customHeight="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6" x14ac:dyDescent="0.25">
      <c r="A33" s="35"/>
      <c r="F33" s="34"/>
    </row>
    <row r="34" spans="1:6" x14ac:dyDescent="0.25">
      <c r="A34" s="35"/>
      <c r="F34" s="34"/>
    </row>
    <row r="35" spans="1:6" x14ac:dyDescent="0.25">
      <c r="A35" s="35"/>
      <c r="F35" s="34"/>
    </row>
    <row r="36" spans="1:6" x14ac:dyDescent="0.25">
      <c r="A36" s="35"/>
      <c r="F36" s="34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</row>
    <row r="61" spans="1:6" x14ac:dyDescent="0.25">
      <c r="A61" s="35"/>
    </row>
    <row r="62" spans="1:6" x14ac:dyDescent="0.25">
      <c r="A62" s="35"/>
    </row>
    <row r="63" spans="1:6" x14ac:dyDescent="0.25">
      <c r="A63" s="35"/>
    </row>
    <row r="64" spans="1:6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75"/>
  <dimension ref="A1:I157"/>
  <sheetViews>
    <sheetView zoomScale="180" zoomScaleNormal="180" workbookViewId="0">
      <selection activeCell="A5" sqref="A5"/>
    </sheetView>
  </sheetViews>
  <sheetFormatPr defaultRowHeight="15" x14ac:dyDescent="0.25"/>
  <cols>
    <col min="1" max="1" width="11.28515625" customWidth="1"/>
    <col min="3" max="3" width="30.85546875" bestFit="1" customWidth="1"/>
    <col min="6" max="8" width="10.28515625" style="30" bestFit="1" customWidth="1"/>
    <col min="9" max="9" width="10.5703125" customWidth="1"/>
  </cols>
  <sheetData>
    <row r="1" spans="1:9" ht="23.25" x14ac:dyDescent="0.35">
      <c r="A1" s="16" t="s">
        <v>157</v>
      </c>
      <c r="F1" s="30">
        <f>SUM(F4:F1048576)</f>
        <v>0</v>
      </c>
      <c r="G1" s="30">
        <f>SUM(G4:G1048576)</f>
        <v>0</v>
      </c>
      <c r="H1" s="30">
        <f>F1-G1</f>
        <v>0</v>
      </c>
      <c r="I1">
        <v>125</v>
      </c>
    </row>
    <row r="3" spans="1:9" x14ac:dyDescent="0.25">
      <c r="A3" t="s">
        <v>21</v>
      </c>
      <c r="B3" t="s">
        <v>38</v>
      </c>
      <c r="C3" t="s">
        <v>26</v>
      </c>
      <c r="D3" t="s">
        <v>3</v>
      </c>
      <c r="E3" t="s">
        <v>193</v>
      </c>
      <c r="F3" s="30" t="s">
        <v>24</v>
      </c>
      <c r="G3" s="30" t="s">
        <v>25</v>
      </c>
      <c r="H3" s="30" t="s">
        <v>6</v>
      </c>
    </row>
    <row r="6" spans="1:9" x14ac:dyDescent="0.25">
      <c r="A6" s="5"/>
    </row>
    <row r="7" spans="1:9" x14ac:dyDescent="0.25">
      <c r="A7" s="5"/>
    </row>
    <row r="8" spans="1:9" x14ac:dyDescent="0.25">
      <c r="A8" s="5"/>
    </row>
    <row r="9" spans="1:9" x14ac:dyDescent="0.25">
      <c r="A9" s="5"/>
    </row>
    <row r="10" spans="1:9" x14ac:dyDescent="0.25">
      <c r="A10" s="5"/>
    </row>
    <row r="11" spans="1:9" x14ac:dyDescent="0.25">
      <c r="A11" s="5"/>
    </row>
    <row r="12" spans="1:9" x14ac:dyDescent="0.25">
      <c r="A12" s="5"/>
    </row>
    <row r="13" spans="1:9" x14ac:dyDescent="0.25">
      <c r="A13" s="5"/>
    </row>
    <row r="14" spans="1:9" x14ac:dyDescent="0.25">
      <c r="A14" s="5"/>
    </row>
    <row r="15" spans="1:9" x14ac:dyDescent="0.25">
      <c r="A15" s="5"/>
    </row>
    <row r="16" spans="1:9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1" x14ac:dyDescent="0.25">
      <c r="A33" s="3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0"/>
  <dimension ref="A1:K39"/>
  <sheetViews>
    <sheetView zoomScale="190" zoomScaleNormal="190" workbookViewId="0">
      <selection activeCell="A4" sqref="A4"/>
    </sheetView>
  </sheetViews>
  <sheetFormatPr defaultColWidth="8.85546875" defaultRowHeight="15" x14ac:dyDescent="0.25"/>
  <cols>
    <col min="1" max="1" width="12.140625" style="33" customWidth="1"/>
    <col min="2" max="2" width="8.7109375" style="33" customWidth="1"/>
    <col min="3" max="3" width="27.5703125" style="33" bestFit="1" customWidth="1"/>
    <col min="4" max="5" width="8.28515625" style="33" customWidth="1"/>
    <col min="6" max="7" width="10.42578125" style="34" bestFit="1" customWidth="1"/>
    <col min="8" max="8" width="11.42578125" style="34" customWidth="1"/>
    <col min="9" max="9" width="9" style="33" bestFit="1" customWidth="1"/>
    <col min="10" max="16384" width="8.85546875" style="33"/>
  </cols>
  <sheetData>
    <row r="1" spans="1:11" ht="35.25" x14ac:dyDescent="0.5">
      <c r="A1" s="31" t="s">
        <v>181</v>
      </c>
      <c r="F1" s="34">
        <f>SUM(F4:F1048576)</f>
        <v>0</v>
      </c>
      <c r="G1" s="34">
        <f>SUM(G4:G1048576)</f>
        <v>0</v>
      </c>
      <c r="H1" s="34">
        <f>F1-G1</f>
        <v>0</v>
      </c>
      <c r="I1" s="33">
        <v>143</v>
      </c>
      <c r="K1" s="33" t="s">
        <v>182</v>
      </c>
    </row>
    <row r="2" spans="1:11" x14ac:dyDescent="0.25">
      <c r="A2" s="33" t="s">
        <v>21</v>
      </c>
      <c r="B2" s="33" t="s">
        <v>22</v>
      </c>
      <c r="C2" s="33" t="s">
        <v>26</v>
      </c>
      <c r="D2" s="33" t="s">
        <v>3</v>
      </c>
      <c r="E2" s="33" t="s">
        <v>198</v>
      </c>
      <c r="F2" s="34" t="s">
        <v>24</v>
      </c>
      <c r="G2" s="34" t="s">
        <v>25</v>
      </c>
      <c r="H2" s="34" t="s">
        <v>6</v>
      </c>
    </row>
    <row r="4" spans="1:11" x14ac:dyDescent="0.25">
      <c r="A4" s="35"/>
    </row>
    <row r="5" spans="1:11" x14ac:dyDescent="0.25">
      <c r="A5" s="35"/>
      <c r="I5" s="33" t="s">
        <v>197</v>
      </c>
    </row>
    <row r="6" spans="1:11" x14ac:dyDescent="0.25">
      <c r="A6" s="35"/>
    </row>
    <row r="7" spans="1:11" x14ac:dyDescent="0.25">
      <c r="A7" s="35"/>
    </row>
    <row r="8" spans="1:11" x14ac:dyDescent="0.25">
      <c r="A8" s="35"/>
      <c r="I8" s="33" t="s">
        <v>197</v>
      </c>
    </row>
    <row r="9" spans="1:11" x14ac:dyDescent="0.25">
      <c r="A9" s="35"/>
    </row>
    <row r="10" spans="1:11" x14ac:dyDescent="0.25">
      <c r="A10" s="35"/>
    </row>
    <row r="11" spans="1:11" x14ac:dyDescent="0.25">
      <c r="A11" s="35"/>
    </row>
    <row r="12" spans="1:11" x14ac:dyDescent="0.25">
      <c r="A12" s="35"/>
      <c r="I12" s="33" t="s">
        <v>197</v>
      </c>
    </row>
    <row r="13" spans="1:11" x14ac:dyDescent="0.25">
      <c r="A13" s="35"/>
    </row>
    <row r="14" spans="1:11" x14ac:dyDescent="0.25">
      <c r="A14" s="35"/>
    </row>
    <row r="15" spans="1:11" x14ac:dyDescent="0.25">
      <c r="A15" s="35"/>
    </row>
    <row r="16" spans="1:11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ht="20.25" customHeight="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4"/>
  <dimension ref="A1:I41"/>
  <sheetViews>
    <sheetView zoomScale="190" zoomScaleNormal="190" workbookViewId="0">
      <selection activeCell="A3" sqref="A3"/>
    </sheetView>
  </sheetViews>
  <sheetFormatPr defaultColWidth="8.85546875" defaultRowHeight="15" x14ac:dyDescent="0.25"/>
  <cols>
    <col min="1" max="1" width="11" style="33" customWidth="1"/>
    <col min="2" max="2" width="8.85546875" style="33"/>
    <col min="3" max="3" width="22.42578125" style="33" customWidth="1"/>
    <col min="4" max="5" width="8.85546875" style="33"/>
    <col min="6" max="6" width="11.5703125" style="33" customWidth="1"/>
    <col min="7" max="8" width="10.28515625" style="34" bestFit="1" customWidth="1"/>
    <col min="9" max="16384" width="8.85546875" style="33"/>
  </cols>
  <sheetData>
    <row r="1" spans="1:9" ht="25.5" x14ac:dyDescent="0.35">
      <c r="A1" s="52" t="s">
        <v>60</v>
      </c>
      <c r="F1" s="33">
        <f>SUM(F4:F1048576)</f>
        <v>0</v>
      </c>
      <c r="G1" s="34">
        <f>SUM(G4:G1048576)</f>
        <v>0</v>
      </c>
      <c r="H1" s="34">
        <f>F1-G1</f>
        <v>0</v>
      </c>
      <c r="I1" s="33">
        <v>129</v>
      </c>
    </row>
    <row r="2" spans="1:9" x14ac:dyDescent="0.25">
      <c r="A2" s="33" t="s">
        <v>0</v>
      </c>
      <c r="B2" s="33" t="s">
        <v>1</v>
      </c>
      <c r="C2" s="33" t="s">
        <v>7</v>
      </c>
      <c r="D2" s="33" t="s">
        <v>3</v>
      </c>
      <c r="E2" s="33" t="s">
        <v>193</v>
      </c>
      <c r="F2" s="33" t="s">
        <v>11</v>
      </c>
      <c r="G2" s="34" t="s">
        <v>13</v>
      </c>
      <c r="H2" s="34" t="s">
        <v>6</v>
      </c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  <c r="I22" s="33" t="s">
        <v>197</v>
      </c>
    </row>
    <row r="23" spans="1:9" x14ac:dyDescent="0.25">
      <c r="A23" s="35"/>
    </row>
    <row r="24" spans="1:9" x14ac:dyDescent="0.25">
      <c r="A24" s="35"/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  <c r="F29" s="34"/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76"/>
  <dimension ref="A1:G33"/>
  <sheetViews>
    <sheetView workbookViewId="0">
      <selection activeCell="A33" sqref="A33"/>
    </sheetView>
  </sheetViews>
  <sheetFormatPr defaultRowHeight="15" x14ac:dyDescent="0.25"/>
  <cols>
    <col min="1" max="1" width="10.28515625" customWidth="1"/>
    <col min="3" max="3" width="18.140625" customWidth="1"/>
    <col min="5" max="5" width="10" bestFit="1" customWidth="1"/>
    <col min="8" max="8" width="11" bestFit="1" customWidth="1"/>
  </cols>
  <sheetData>
    <row r="1" spans="1:7" ht="26.25" x14ac:dyDescent="0.4">
      <c r="A1" s="15" t="s">
        <v>117</v>
      </c>
      <c r="D1">
        <v>139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6" spans="1:7" ht="13.9" customHeight="1" x14ac:dyDescent="0.25"/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29"/>
  <dimension ref="A1:H33"/>
  <sheetViews>
    <sheetView topLeftCell="A2" workbookViewId="0">
      <selection activeCell="C32" sqref="C31:C32"/>
    </sheetView>
  </sheetViews>
  <sheetFormatPr defaultRowHeight="15" x14ac:dyDescent="0.25"/>
  <cols>
    <col min="1" max="1" width="10.42578125" customWidth="1"/>
    <col min="3" max="3" width="19.42578125" customWidth="1"/>
  </cols>
  <sheetData>
    <row r="1" spans="1:8" ht="26.25" x14ac:dyDescent="0.4">
      <c r="A1" s="15" t="s">
        <v>92</v>
      </c>
      <c r="E1">
        <f>SUM(E4:E1048576)</f>
        <v>0</v>
      </c>
      <c r="F1">
        <f>SUM(F4:F1048576)</f>
        <v>0</v>
      </c>
      <c r="G1">
        <f>E1-F1</f>
        <v>0</v>
      </c>
      <c r="H1">
        <v>141</v>
      </c>
    </row>
    <row r="2" spans="1:8" x14ac:dyDescent="0.25">
      <c r="A2" t="s">
        <v>0</v>
      </c>
      <c r="B2" t="s">
        <v>1</v>
      </c>
      <c r="C2" t="s">
        <v>7</v>
      </c>
      <c r="D2" t="s">
        <v>3</v>
      </c>
      <c r="E2" t="s">
        <v>11</v>
      </c>
      <c r="F2" t="s">
        <v>9</v>
      </c>
      <c r="G2" t="s">
        <v>6</v>
      </c>
    </row>
    <row r="10" spans="1:8" ht="15" customHeight="1" x14ac:dyDescent="0.25">
      <c r="D10" s="3"/>
    </row>
    <row r="20" spans="4:4" x14ac:dyDescent="0.25">
      <c r="D20" s="33"/>
    </row>
    <row r="28" spans="4:4" ht="16.5" customHeight="1" x14ac:dyDescent="0.25"/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K15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" style="33" customWidth="1"/>
    <col min="2" max="2" width="8.85546875" style="33"/>
    <col min="3" max="3" width="18.28515625" style="33" customWidth="1"/>
    <col min="4" max="16384" width="8.85546875" style="33"/>
  </cols>
  <sheetData>
    <row r="1" spans="1:11" ht="25.5" x14ac:dyDescent="0.35">
      <c r="A1" s="52" t="s">
        <v>20</v>
      </c>
      <c r="D1" s="33">
        <f>SUM(D4:D1048576)</f>
        <v>0</v>
      </c>
      <c r="E1" s="33">
        <f>SUM(E4:E1048576)</f>
        <v>0</v>
      </c>
      <c r="F1" s="33">
        <f>D1-E1</f>
        <v>0</v>
      </c>
      <c r="H1" s="33">
        <v>115</v>
      </c>
    </row>
    <row r="2" spans="1:11" x14ac:dyDescent="0.25">
      <c r="A2" s="33" t="s">
        <v>21</v>
      </c>
      <c r="B2" s="33" t="s">
        <v>22</v>
      </c>
      <c r="C2" s="33" t="s">
        <v>23</v>
      </c>
      <c r="D2" s="33" t="s">
        <v>24</v>
      </c>
      <c r="E2" s="33" t="s">
        <v>25</v>
      </c>
      <c r="F2" s="33" t="s">
        <v>6</v>
      </c>
    </row>
    <row r="5" spans="1:11" ht="18.75" x14ac:dyDescent="0.3">
      <c r="A5" s="35"/>
      <c r="K5" s="74"/>
    </row>
    <row r="6" spans="1:11" x14ac:dyDescent="0.25">
      <c r="A6" s="35"/>
      <c r="J6" s="55"/>
    </row>
    <row r="7" spans="1:11" ht="18.75" x14ac:dyDescent="0.3">
      <c r="A7" s="35"/>
      <c r="J7" s="75"/>
      <c r="K7" s="76"/>
    </row>
    <row r="8" spans="1:11" x14ac:dyDescent="0.25">
      <c r="A8" s="35"/>
    </row>
    <row r="9" spans="1:11" x14ac:dyDescent="0.25">
      <c r="A9" s="35"/>
    </row>
    <row r="10" spans="1:11" x14ac:dyDescent="0.25">
      <c r="A10" s="35"/>
      <c r="I10" s="55"/>
    </row>
    <row r="11" spans="1:11" x14ac:dyDescent="0.25">
      <c r="A11" s="35"/>
      <c r="I11" s="75"/>
    </row>
    <row r="12" spans="1:11" x14ac:dyDescent="0.25">
      <c r="A12" s="35"/>
    </row>
    <row r="13" spans="1:11" x14ac:dyDescent="0.25">
      <c r="A13" s="35"/>
    </row>
    <row r="14" spans="1:11" x14ac:dyDescent="0.25">
      <c r="A14" s="35"/>
    </row>
    <row r="15" spans="1:11" x14ac:dyDescent="0.25">
      <c r="A15" s="35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9"/>
  <dimension ref="A1:I45"/>
  <sheetViews>
    <sheetView zoomScale="180" zoomScaleNormal="180" workbookViewId="0">
      <selection activeCell="A4" sqref="A4"/>
    </sheetView>
  </sheetViews>
  <sheetFormatPr defaultColWidth="8.85546875" defaultRowHeight="15.75" x14ac:dyDescent="0.25"/>
  <cols>
    <col min="1" max="1" width="11.28515625" style="59" customWidth="1"/>
    <col min="2" max="2" width="9.140625" style="59" bestFit="1" customWidth="1"/>
    <col min="3" max="3" width="27.140625" style="59" bestFit="1" customWidth="1"/>
    <col min="4" max="5" width="9.140625" style="59" bestFit="1" customWidth="1"/>
    <col min="6" max="6" width="14.85546875" style="59" customWidth="1"/>
    <col min="7" max="7" width="11.42578125" style="60" bestFit="1" customWidth="1"/>
    <col min="8" max="8" width="10.5703125" style="60" bestFit="1" customWidth="1"/>
    <col min="9" max="9" width="9.140625" style="59" bestFit="1" customWidth="1"/>
    <col min="10" max="16384" width="8.85546875" style="59"/>
  </cols>
  <sheetData>
    <row r="1" spans="1:9" x14ac:dyDescent="0.25">
      <c r="A1" s="62" t="s">
        <v>125</v>
      </c>
      <c r="F1" s="59">
        <f>SUM(F4:F1048576)</f>
        <v>0</v>
      </c>
      <c r="G1" s="60">
        <f>SUM(G4:G1048576)</f>
        <v>0</v>
      </c>
      <c r="H1" s="60">
        <f>F1-G1</f>
        <v>0</v>
      </c>
      <c r="I1" s="59">
        <v>131</v>
      </c>
    </row>
    <row r="2" spans="1:9" x14ac:dyDescent="0.25">
      <c r="A2" s="59" t="s">
        <v>21</v>
      </c>
      <c r="B2" s="59" t="s">
        <v>22</v>
      </c>
      <c r="C2" s="59" t="s">
        <v>26</v>
      </c>
      <c r="D2" s="59" t="s">
        <v>3</v>
      </c>
      <c r="E2" s="59" t="s">
        <v>193</v>
      </c>
      <c r="F2" s="59" t="s">
        <v>24</v>
      </c>
      <c r="G2" s="60" t="s">
        <v>25</v>
      </c>
      <c r="H2" s="60" t="s">
        <v>6</v>
      </c>
    </row>
    <row r="5" spans="1:9" x14ac:dyDescent="0.25">
      <c r="A5" s="61"/>
    </row>
    <row r="6" spans="1:9" x14ac:dyDescent="0.25">
      <c r="A6" s="61"/>
    </row>
    <row r="7" spans="1:9" x14ac:dyDescent="0.25">
      <c r="A7" s="61"/>
    </row>
    <row r="8" spans="1:9" x14ac:dyDescent="0.25">
      <c r="A8" s="61"/>
    </row>
    <row r="9" spans="1:9" x14ac:dyDescent="0.25">
      <c r="A9" s="61"/>
    </row>
    <row r="10" spans="1:9" x14ac:dyDescent="0.25">
      <c r="A10" s="61"/>
    </row>
    <row r="11" spans="1:9" x14ac:dyDescent="0.25">
      <c r="A11" s="61"/>
    </row>
    <row r="12" spans="1:9" x14ac:dyDescent="0.25">
      <c r="A12" s="61"/>
    </row>
    <row r="13" spans="1:9" x14ac:dyDescent="0.25">
      <c r="A13" s="61"/>
    </row>
    <row r="14" spans="1:9" x14ac:dyDescent="0.25">
      <c r="A14" s="61"/>
    </row>
    <row r="15" spans="1:9" x14ac:dyDescent="0.25">
      <c r="A15" s="61"/>
    </row>
    <row r="16" spans="1:9" x14ac:dyDescent="0.25">
      <c r="A16" s="35"/>
      <c r="B16" s="33"/>
      <c r="C16" s="33"/>
      <c r="D16" s="33"/>
      <c r="E16" s="33"/>
      <c r="F16" s="34"/>
      <c r="G16" s="34"/>
    </row>
    <row r="17" spans="1:6" x14ac:dyDescent="0.25">
      <c r="A17" s="35"/>
      <c r="F17" s="34"/>
    </row>
    <row r="18" spans="1:6" x14ac:dyDescent="0.25">
      <c r="A18" s="35"/>
      <c r="F18" s="34"/>
    </row>
    <row r="19" spans="1:6" x14ac:dyDescent="0.25">
      <c r="A19" s="35"/>
      <c r="F19" s="34"/>
    </row>
    <row r="20" spans="1:6" x14ac:dyDescent="0.25">
      <c r="A20" s="35"/>
      <c r="F20" s="34"/>
    </row>
    <row r="21" spans="1:6" x14ac:dyDescent="0.25">
      <c r="A21" s="35"/>
      <c r="F21" s="34"/>
    </row>
    <row r="22" spans="1:6" x14ac:dyDescent="0.25">
      <c r="A22" s="35"/>
      <c r="F22" s="34"/>
    </row>
    <row r="23" spans="1:6" x14ac:dyDescent="0.25">
      <c r="A23" s="35"/>
      <c r="F23" s="34"/>
    </row>
    <row r="24" spans="1:6" x14ac:dyDescent="0.25">
      <c r="A24" s="35"/>
      <c r="F24" s="34"/>
    </row>
    <row r="25" spans="1:6" x14ac:dyDescent="0.25">
      <c r="A25" s="35"/>
      <c r="F25" s="34"/>
    </row>
    <row r="26" spans="1:6" x14ac:dyDescent="0.25">
      <c r="A26" s="35"/>
      <c r="F26" s="34"/>
    </row>
    <row r="27" spans="1:6" x14ac:dyDescent="0.25">
      <c r="A27" s="35"/>
      <c r="F27" s="34"/>
    </row>
    <row r="36" ht="18.75" customHeight="1" x14ac:dyDescent="0.25"/>
    <row r="45" ht="20.2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48"/>
  <dimension ref="A1:I36"/>
  <sheetViews>
    <sheetView workbookViewId="0">
      <selection activeCell="A33" sqref="A33"/>
    </sheetView>
  </sheetViews>
  <sheetFormatPr defaultRowHeight="15" x14ac:dyDescent="0.25"/>
  <cols>
    <col min="1" max="1" width="12.28515625" bestFit="1" customWidth="1"/>
    <col min="3" max="3" width="17.42578125" customWidth="1"/>
    <col min="4" max="4" width="9.28515625" customWidth="1"/>
    <col min="8" max="8" width="12" bestFit="1" customWidth="1"/>
  </cols>
  <sheetData>
    <row r="1" spans="1:9" s="22" customFormat="1" ht="28.5" x14ac:dyDescent="0.45">
      <c r="A1" s="6" t="s">
        <v>40</v>
      </c>
      <c r="C1" s="22">
        <v>139</v>
      </c>
      <c r="E1">
        <f>SUM(E4:E1048576)</f>
        <v>0</v>
      </c>
      <c r="F1">
        <f>SUM(F4:F1048576)</f>
        <v>0</v>
      </c>
      <c r="G1">
        <f>E1-F1</f>
        <v>0</v>
      </c>
      <c r="I1" s="21"/>
    </row>
    <row r="2" spans="1:9" x14ac:dyDescent="0.25">
      <c r="A2" t="s">
        <v>0</v>
      </c>
      <c r="B2" t="s">
        <v>1</v>
      </c>
      <c r="C2" t="s">
        <v>2</v>
      </c>
      <c r="D2" t="s">
        <v>18</v>
      </c>
      <c r="E2" t="s">
        <v>11</v>
      </c>
      <c r="F2" t="s">
        <v>9</v>
      </c>
      <c r="G2" t="s">
        <v>6</v>
      </c>
    </row>
    <row r="20" spans="4:4" x14ac:dyDescent="0.25">
      <c r="D20" s="33"/>
    </row>
    <row r="33" spans="1:1" x14ac:dyDescent="0.25">
      <c r="A33" s="33"/>
    </row>
    <row r="36" spans="1:1" ht="16.149999999999999" customHeight="1" x14ac:dyDescent="0.25"/>
  </sheetData>
  <phoneticPr fontId="21" type="noConversion"/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77"/>
  <dimension ref="A1:J33"/>
  <sheetViews>
    <sheetView zoomScale="180" zoomScaleNormal="180" workbookViewId="0">
      <selection activeCell="A7" sqref="A7"/>
    </sheetView>
  </sheetViews>
  <sheetFormatPr defaultRowHeight="15" x14ac:dyDescent="0.25"/>
  <cols>
    <col min="1" max="1" width="10.7109375" customWidth="1"/>
    <col min="3" max="3" width="21.28515625" customWidth="1"/>
    <col min="6" max="6" width="11.28515625" style="30" bestFit="1" customWidth="1"/>
    <col min="7" max="7" width="11" style="30" bestFit="1" customWidth="1"/>
  </cols>
  <sheetData>
    <row r="1" spans="1:10" ht="26.25" x14ac:dyDescent="0.4">
      <c r="A1" s="15" t="s">
        <v>173</v>
      </c>
      <c r="E1">
        <f>SUM(E4:E1048576)</f>
        <v>0</v>
      </c>
      <c r="F1" s="30">
        <f>SUM(F4:F1048576)</f>
        <v>0</v>
      </c>
      <c r="G1" s="30">
        <f>E1-F1</f>
        <v>0</v>
      </c>
      <c r="J1">
        <v>141</v>
      </c>
    </row>
    <row r="3" spans="1:10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s="30" t="s">
        <v>25</v>
      </c>
      <c r="G3" s="30" t="s">
        <v>6</v>
      </c>
      <c r="I3" t="s">
        <v>73</v>
      </c>
    </row>
    <row r="5" spans="1:10" x14ac:dyDescent="0.25">
      <c r="A5" s="5"/>
    </row>
    <row r="6" spans="1:10" x14ac:dyDescent="0.25">
      <c r="A6" s="5"/>
    </row>
    <row r="7" spans="1:10" x14ac:dyDescent="0.25">
      <c r="A7" s="5"/>
    </row>
    <row r="8" spans="1:10" x14ac:dyDescent="0.25">
      <c r="A8" s="5"/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78"/>
  <dimension ref="A1:H1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42578125" style="33" customWidth="1"/>
    <col min="2" max="2" width="8.85546875" style="33"/>
    <col min="3" max="3" width="28.28515625" style="33" bestFit="1" customWidth="1"/>
    <col min="4" max="5" width="8.85546875" style="33"/>
    <col min="6" max="6" width="11.85546875" style="33" customWidth="1"/>
    <col min="7" max="7" width="10.28515625" style="34" bestFit="1" customWidth="1"/>
    <col min="8" max="8" width="11.710937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90</v>
      </c>
      <c r="D1" s="33">
        <v>71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6" x14ac:dyDescent="0.25">
      <c r="A65" s="35"/>
    </row>
    <row r="66" spans="1:6" x14ac:dyDescent="0.25">
      <c r="A66" s="35"/>
    </row>
    <row r="67" spans="1:6" x14ac:dyDescent="0.25">
      <c r="A67" s="35"/>
    </row>
    <row r="68" spans="1:6" x14ac:dyDescent="0.25">
      <c r="A68" s="35"/>
    </row>
    <row r="69" spans="1:6" x14ac:dyDescent="0.25">
      <c r="A69" s="35"/>
    </row>
    <row r="70" spans="1:6" x14ac:dyDescent="0.25">
      <c r="A70" s="35"/>
    </row>
    <row r="71" spans="1:6" x14ac:dyDescent="0.25">
      <c r="A71" s="35"/>
    </row>
    <row r="72" spans="1:6" x14ac:dyDescent="0.25">
      <c r="A72" s="35"/>
    </row>
    <row r="73" spans="1:6" x14ac:dyDescent="0.25">
      <c r="A73" s="35"/>
    </row>
    <row r="74" spans="1:6" x14ac:dyDescent="0.25">
      <c r="A74" s="35"/>
    </row>
    <row r="75" spans="1:6" x14ac:dyDescent="0.25">
      <c r="A75" s="35"/>
    </row>
    <row r="76" spans="1:6" x14ac:dyDescent="0.25">
      <c r="A76" s="35"/>
    </row>
    <row r="77" spans="1:6" x14ac:dyDescent="0.25">
      <c r="A77" s="35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13" ht="15.6" customHeight="1" x14ac:dyDescent="0.25"/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5"/>
  <dimension ref="A1:N986"/>
  <sheetViews>
    <sheetView zoomScale="170" zoomScaleNormal="170" workbookViewId="0">
      <selection activeCell="A4" sqref="A4"/>
    </sheetView>
  </sheetViews>
  <sheetFormatPr defaultRowHeight="15" x14ac:dyDescent="0.25"/>
  <cols>
    <col min="1" max="1" width="14" customWidth="1"/>
    <col min="3" max="3" width="21.28515625" customWidth="1"/>
  </cols>
  <sheetData>
    <row r="1" spans="1:8" ht="26.25" x14ac:dyDescent="0.4">
      <c r="A1" s="15" t="s">
        <v>152</v>
      </c>
      <c r="C1" t="s">
        <v>153</v>
      </c>
      <c r="D1">
        <v>147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0</v>
      </c>
      <c r="B2" t="s">
        <v>1</v>
      </c>
      <c r="C2" t="s">
        <v>7</v>
      </c>
      <c r="D2" t="s">
        <v>3</v>
      </c>
      <c r="E2" t="s">
        <v>194</v>
      </c>
      <c r="F2" t="s">
        <v>11</v>
      </c>
      <c r="G2" t="s">
        <v>9</v>
      </c>
      <c r="H2" t="s">
        <v>6</v>
      </c>
    </row>
    <row r="5" spans="1:8" x14ac:dyDescent="0.25">
      <c r="A5" s="5"/>
    </row>
    <row r="6" spans="1:8" x14ac:dyDescent="0.25">
      <c r="A6" s="5"/>
    </row>
    <row r="7" spans="1:8" x14ac:dyDescent="0.25">
      <c r="A7" s="5"/>
    </row>
    <row r="8" spans="1:8" x14ac:dyDescent="0.25">
      <c r="A8" s="5"/>
    </row>
    <row r="20" spans="4:4" x14ac:dyDescent="0.25">
      <c r="D20" s="33"/>
    </row>
    <row r="33" spans="1:1" x14ac:dyDescent="0.25">
      <c r="A33" s="33"/>
    </row>
    <row r="552" ht="18.75" customHeight="1" x14ac:dyDescent="0.25"/>
    <row r="676" spans="14:14" x14ac:dyDescent="0.25">
      <c r="N676" t="s">
        <v>101</v>
      </c>
    </row>
    <row r="984" ht="13.5" customHeight="1" x14ac:dyDescent="0.25"/>
    <row r="985" hidden="1" x14ac:dyDescent="0.25"/>
    <row r="986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6"/>
  <dimension ref="A1:I100"/>
  <sheetViews>
    <sheetView workbookViewId="0">
      <selection activeCell="A33" sqref="A33"/>
    </sheetView>
  </sheetViews>
  <sheetFormatPr defaultRowHeight="15" x14ac:dyDescent="0.25"/>
  <cols>
    <col min="1" max="1" width="10.140625" customWidth="1"/>
    <col min="3" max="3" width="15" customWidth="1"/>
  </cols>
  <sheetData>
    <row r="1" spans="1:9" ht="26.25" x14ac:dyDescent="0.4">
      <c r="A1" s="15" t="s">
        <v>111</v>
      </c>
      <c r="E1">
        <f>SUM(E4:E1048576)</f>
        <v>0</v>
      </c>
      <c r="F1">
        <f>SUM(F4:F1048576)</f>
        <v>0</v>
      </c>
      <c r="G1">
        <f>E1-F1</f>
        <v>0</v>
      </c>
      <c r="I1">
        <v>87</v>
      </c>
    </row>
    <row r="3" spans="1:9" x14ac:dyDescent="0.25">
      <c r="A3" t="s">
        <v>21</v>
      </c>
      <c r="B3" t="s">
        <v>32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6" spans="1:9" x14ac:dyDescent="0.25">
      <c r="A6" s="5">
        <f>DATE(2025,6,18)</f>
        <v>45826</v>
      </c>
    </row>
    <row r="20" spans="4:4" x14ac:dyDescent="0.25">
      <c r="D20" s="33"/>
    </row>
    <row r="33" spans="1:1" x14ac:dyDescent="0.25">
      <c r="A33" s="33"/>
    </row>
    <row r="45" spans="1:1" ht="16.5" customHeight="1" x14ac:dyDescent="0.25"/>
    <row r="100" customFormat="1" x14ac:dyDescent="0.25"/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79"/>
  <dimension ref="A1:G33"/>
  <sheetViews>
    <sheetView workbookViewId="0">
      <selection activeCell="A33" sqref="A33"/>
    </sheetView>
  </sheetViews>
  <sheetFormatPr defaultRowHeight="15" x14ac:dyDescent="0.25"/>
  <cols>
    <col min="1" max="1" width="11.28515625" customWidth="1"/>
    <col min="3" max="3" width="19.28515625" customWidth="1"/>
    <col min="7" max="7" width="9.7109375" bestFit="1" customWidth="1"/>
  </cols>
  <sheetData>
    <row r="1" spans="1:7" ht="26.25" x14ac:dyDescent="0.4">
      <c r="A1" s="15" t="s">
        <v>155</v>
      </c>
      <c r="D1">
        <v>87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21</v>
      </c>
      <c r="B3" t="s">
        <v>38</v>
      </c>
      <c r="C3" t="s">
        <v>48</v>
      </c>
      <c r="D3" t="s">
        <v>3</v>
      </c>
      <c r="E3" t="s">
        <v>24</v>
      </c>
      <c r="F3" t="s">
        <v>25</v>
      </c>
      <c r="G3" t="s">
        <v>6</v>
      </c>
    </row>
    <row r="19" spans="4:4" ht="15.75" customHeight="1" x14ac:dyDescent="0.25"/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80"/>
  <dimension ref="A1:J86"/>
  <sheetViews>
    <sheetView zoomScale="150" zoomScaleNormal="150" workbookViewId="0">
      <selection activeCell="A4" sqref="A4"/>
    </sheetView>
  </sheetViews>
  <sheetFormatPr defaultRowHeight="15" x14ac:dyDescent="0.25"/>
  <cols>
    <col min="1" max="1" width="11.42578125" customWidth="1"/>
    <col min="3" max="3" width="28.140625" bestFit="1" customWidth="1"/>
    <col min="8" max="8" width="9.140625" bestFit="1" customWidth="1"/>
    <col min="9" max="9" width="12" bestFit="1" customWidth="1"/>
  </cols>
  <sheetData>
    <row r="1" spans="1:10" ht="26.25" x14ac:dyDescent="0.4">
      <c r="A1" s="15" t="s">
        <v>42</v>
      </c>
      <c r="F1">
        <f>SUM(F4:F1048576)</f>
        <v>0</v>
      </c>
      <c r="G1">
        <f>SUM(G4:G1048576)</f>
        <v>0</v>
      </c>
      <c r="H1">
        <f>F1-G1</f>
        <v>0</v>
      </c>
      <c r="J1">
        <v>151</v>
      </c>
    </row>
    <row r="3" spans="1:10" x14ac:dyDescent="0.25">
      <c r="A3" t="s">
        <v>21</v>
      </c>
      <c r="B3" t="s">
        <v>38</v>
      </c>
      <c r="C3" t="s">
        <v>26</v>
      </c>
      <c r="D3" t="s">
        <v>3</v>
      </c>
      <c r="E3" t="s">
        <v>193</v>
      </c>
      <c r="F3" t="s">
        <v>24</v>
      </c>
      <c r="G3" t="s">
        <v>25</v>
      </c>
      <c r="H3" t="s">
        <v>6</v>
      </c>
      <c r="J3" t="s">
        <v>78</v>
      </c>
    </row>
    <row r="5" spans="1:10" x14ac:dyDescent="0.25">
      <c r="A5" s="5"/>
    </row>
    <row r="6" spans="1:10" x14ac:dyDescent="0.25">
      <c r="A6" s="5"/>
    </row>
    <row r="7" spans="1:10" x14ac:dyDescent="0.25">
      <c r="A7" s="5"/>
    </row>
    <row r="8" spans="1:10" x14ac:dyDescent="0.25">
      <c r="A8" s="5"/>
    </row>
    <row r="9" spans="1:10" x14ac:dyDescent="0.25">
      <c r="A9" s="5"/>
    </row>
    <row r="10" spans="1:10" x14ac:dyDescent="0.25">
      <c r="A10" s="5"/>
    </row>
    <row r="11" spans="1:10" x14ac:dyDescent="0.25">
      <c r="A11" s="5"/>
    </row>
    <row r="12" spans="1:10" x14ac:dyDescent="0.25">
      <c r="A12" s="5"/>
    </row>
    <row r="13" spans="1:10" x14ac:dyDescent="0.25">
      <c r="A13" s="5"/>
    </row>
    <row r="14" spans="1:10" x14ac:dyDescent="0.25">
      <c r="A14" s="5"/>
    </row>
    <row r="15" spans="1:10" x14ac:dyDescent="0.25">
      <c r="A15" s="5"/>
    </row>
    <row r="16" spans="1:10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ht="17.25" customHeight="1" x14ac:dyDescent="0.25">
      <c r="A31" s="5"/>
    </row>
    <row r="32" spans="1:4" x14ac:dyDescent="0.25">
      <c r="A32" s="5"/>
    </row>
    <row r="33" spans="1:7" x14ac:dyDescent="0.25">
      <c r="A33" s="35"/>
    </row>
    <row r="34" spans="1:7" x14ac:dyDescent="0.25">
      <c r="A34" s="5"/>
    </row>
    <row r="35" spans="1:7" x14ac:dyDescent="0.25">
      <c r="A35" s="5"/>
    </row>
    <row r="36" spans="1:7" x14ac:dyDescent="0.25">
      <c r="A36" s="5"/>
    </row>
    <row r="37" spans="1:7" x14ac:dyDescent="0.25">
      <c r="A37" s="5"/>
    </row>
    <row r="38" spans="1:7" x14ac:dyDescent="0.25">
      <c r="A38" s="5"/>
    </row>
    <row r="39" spans="1:7" x14ac:dyDescent="0.25">
      <c r="A39" s="5"/>
    </row>
    <row r="40" spans="1:7" x14ac:dyDescent="0.25">
      <c r="A40" s="5"/>
      <c r="B40" s="26"/>
      <c r="C40" s="26"/>
      <c r="D40" s="26"/>
      <c r="E40" s="26"/>
      <c r="G40" s="26"/>
    </row>
    <row r="41" spans="1:7" x14ac:dyDescent="0.25">
      <c r="A41" s="5"/>
    </row>
    <row r="42" spans="1:7" x14ac:dyDescent="0.25">
      <c r="A42" s="5"/>
    </row>
    <row r="43" spans="1:7" x14ac:dyDescent="0.25">
      <c r="A43" s="5"/>
    </row>
    <row r="44" spans="1:7" x14ac:dyDescent="0.25">
      <c r="A44" s="5"/>
    </row>
    <row r="45" spans="1:7" x14ac:dyDescent="0.25">
      <c r="A45" s="5"/>
    </row>
    <row r="46" spans="1:7" x14ac:dyDescent="0.25">
      <c r="A46" s="5"/>
    </row>
    <row r="47" spans="1:7" x14ac:dyDescent="0.25">
      <c r="A47" s="5"/>
    </row>
    <row r="48" spans="1:7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6" spans="1:1" x14ac:dyDescent="0.25">
      <c r="A86" s="5"/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81"/>
  <dimension ref="A1:H33"/>
  <sheetViews>
    <sheetView zoomScale="170" zoomScaleNormal="170" workbookViewId="0">
      <selection activeCell="A4" sqref="A4"/>
    </sheetView>
  </sheetViews>
  <sheetFormatPr defaultRowHeight="15" x14ac:dyDescent="0.25"/>
  <cols>
    <col min="1" max="1" width="10.85546875" customWidth="1"/>
    <col min="3" max="3" width="17.28515625" customWidth="1"/>
    <col min="6" max="6" width="11.7109375" customWidth="1"/>
    <col min="7" max="7" width="13" customWidth="1"/>
    <col min="8" max="8" width="12.42578125" customWidth="1"/>
  </cols>
  <sheetData>
    <row r="1" spans="1:8" ht="26.25" x14ac:dyDescent="0.4">
      <c r="A1" s="15" t="s">
        <v>45</v>
      </c>
      <c r="D1">
        <v>153</v>
      </c>
      <c r="F1">
        <f>SUM(F4:F1048576)</f>
        <v>0</v>
      </c>
      <c r="G1">
        <f>SUM(G4:G1048576)</f>
        <v>0</v>
      </c>
      <c r="H1">
        <f>F1-G1</f>
        <v>0</v>
      </c>
    </row>
    <row r="3" spans="1:8" x14ac:dyDescent="0.25">
      <c r="A3" t="s">
        <v>21</v>
      </c>
      <c r="B3" t="s">
        <v>38</v>
      </c>
      <c r="C3" t="s">
        <v>26</v>
      </c>
      <c r="D3" t="s">
        <v>3</v>
      </c>
      <c r="E3" t="s">
        <v>193</v>
      </c>
      <c r="F3" t="s">
        <v>24</v>
      </c>
      <c r="G3" t="s">
        <v>25</v>
      </c>
      <c r="H3" t="s">
        <v>6</v>
      </c>
    </row>
    <row r="5" spans="1:8" x14ac:dyDescent="0.25">
      <c r="A5" s="5"/>
    </row>
    <row r="6" spans="1:8" x14ac:dyDescent="0.25">
      <c r="A6" s="5"/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82"/>
  <dimension ref="A1:N213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85546875" style="33" customWidth="1"/>
    <col min="2" max="2" width="8.85546875" style="33"/>
    <col min="3" max="3" width="29.140625" style="33" bestFit="1" customWidth="1"/>
    <col min="4" max="5" width="8.85546875" style="33"/>
    <col min="6" max="6" width="11.7109375" style="33" customWidth="1"/>
    <col min="7" max="7" width="12.140625" style="34" customWidth="1"/>
    <col min="8" max="8" width="14" style="34" customWidth="1"/>
    <col min="9" max="9" width="12" style="33" bestFit="1" customWidth="1"/>
    <col min="10" max="16384" width="8.85546875" style="33"/>
  </cols>
  <sheetData>
    <row r="1" spans="1:8" ht="25.5" x14ac:dyDescent="0.35">
      <c r="A1" s="33">
        <v>85</v>
      </c>
      <c r="C1" s="52" t="s">
        <v>46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8" x14ac:dyDescent="0.25">
      <c r="A17" s="35"/>
    </row>
    <row r="18" spans="1:8" x14ac:dyDescent="0.25">
      <c r="A18" s="35"/>
    </row>
    <row r="19" spans="1:8" x14ac:dyDescent="0.25">
      <c r="A19" s="35"/>
    </row>
    <row r="20" spans="1:8" x14ac:dyDescent="0.25">
      <c r="A20" s="35"/>
    </row>
    <row r="21" spans="1:8" x14ac:dyDescent="0.25">
      <c r="A21" s="35"/>
    </row>
    <row r="22" spans="1:8" x14ac:dyDescent="0.25">
      <c r="A22" s="35"/>
    </row>
    <row r="23" spans="1:8" x14ac:dyDescent="0.25">
      <c r="A23" s="35"/>
    </row>
    <row r="24" spans="1:8" x14ac:dyDescent="0.25">
      <c r="A24" s="35"/>
    </row>
    <row r="25" spans="1:8" x14ac:dyDescent="0.25">
      <c r="A25" s="35"/>
    </row>
    <row r="26" spans="1:8" s="59" customFormat="1" ht="15.75" x14ac:dyDescent="0.25">
      <c r="A26" s="35"/>
      <c r="B26" s="33"/>
      <c r="C26" s="33"/>
      <c r="G26" s="60"/>
      <c r="H26" s="34"/>
    </row>
    <row r="27" spans="1:8" s="59" customFormat="1" ht="15.75" x14ac:dyDescent="0.25">
      <c r="A27" s="35"/>
      <c r="B27" s="33"/>
      <c r="C27" s="33"/>
      <c r="G27" s="60"/>
      <c r="H27" s="34"/>
    </row>
    <row r="28" spans="1:8" s="59" customFormat="1" ht="15.75" x14ac:dyDescent="0.25">
      <c r="A28" s="35"/>
      <c r="B28" s="33"/>
      <c r="C28" s="33"/>
      <c r="G28" s="60"/>
      <c r="H28" s="34"/>
    </row>
    <row r="29" spans="1:8" x14ac:dyDescent="0.25">
      <c r="A29" s="35"/>
    </row>
    <row r="30" spans="1:8" x14ac:dyDescent="0.25">
      <c r="A30" s="35"/>
    </row>
    <row r="31" spans="1:8" x14ac:dyDescent="0.25">
      <c r="A31" s="35"/>
    </row>
    <row r="32" spans="1:8" x14ac:dyDescent="0.25">
      <c r="A32" s="35"/>
    </row>
    <row r="33" spans="1:6" x14ac:dyDescent="0.25">
      <c r="A33" s="35"/>
    </row>
    <row r="34" spans="1:6" x14ac:dyDescent="0.25">
      <c r="A34" s="35"/>
    </row>
    <row r="35" spans="1:6" x14ac:dyDescent="0.25">
      <c r="A35" s="35"/>
    </row>
    <row r="36" spans="1:6" x14ac:dyDescent="0.25">
      <c r="A36" s="35"/>
      <c r="F36" s="34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</row>
    <row r="76" spans="1:6" x14ac:dyDescent="0.25">
      <c r="A76" s="35"/>
    </row>
    <row r="77" spans="1:6" x14ac:dyDescent="0.25">
      <c r="A77" s="35"/>
    </row>
    <row r="78" spans="1:6" x14ac:dyDescent="0.25">
      <c r="A78" s="35"/>
    </row>
    <row r="79" spans="1:6" x14ac:dyDescent="0.25">
      <c r="A79" s="35"/>
    </row>
    <row r="80" spans="1:6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4" x14ac:dyDescent="0.25">
      <c r="A177" s="35"/>
    </row>
    <row r="178" spans="1:14" x14ac:dyDescent="0.25">
      <c r="A178" s="35"/>
    </row>
    <row r="179" spans="1:14" x14ac:dyDescent="0.25">
      <c r="A179" s="35"/>
    </row>
    <row r="180" spans="1:14" x14ac:dyDescent="0.25">
      <c r="A180" s="35"/>
    </row>
    <row r="181" spans="1:14" x14ac:dyDescent="0.25">
      <c r="A181" s="35"/>
    </row>
    <row r="182" spans="1:14" x14ac:dyDescent="0.25">
      <c r="A182" s="35"/>
    </row>
    <row r="183" spans="1:14" x14ac:dyDescent="0.25">
      <c r="A183" s="35"/>
    </row>
    <row r="184" spans="1:14" x14ac:dyDescent="0.25">
      <c r="A184" s="35"/>
    </row>
    <row r="185" spans="1:14" ht="15.75" x14ac:dyDescent="0.25">
      <c r="A185" s="35"/>
      <c r="L185" s="62"/>
      <c r="M185" s="62"/>
      <c r="N185" s="62"/>
    </row>
    <row r="186" spans="1:14" x14ac:dyDescent="0.25">
      <c r="A186" s="35"/>
    </row>
    <row r="187" spans="1:14" x14ac:dyDescent="0.25">
      <c r="A187" s="35"/>
    </row>
    <row r="188" spans="1:14" x14ac:dyDescent="0.25">
      <c r="A188" s="35"/>
    </row>
    <row r="189" spans="1:14" x14ac:dyDescent="0.25">
      <c r="A189" s="35"/>
    </row>
    <row r="190" spans="1:14" x14ac:dyDescent="0.25">
      <c r="A190" s="35"/>
    </row>
    <row r="191" spans="1:14" x14ac:dyDescent="0.25">
      <c r="A191" s="35"/>
    </row>
    <row r="192" spans="1:14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8" spans="1:1" ht="16.149999999999999" customHeight="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42"/>
  <dimension ref="A1:J80"/>
  <sheetViews>
    <sheetView zoomScale="150" zoomScaleNormal="150" workbookViewId="0">
      <selection activeCell="A3" sqref="A3"/>
    </sheetView>
  </sheetViews>
  <sheetFormatPr defaultRowHeight="15" x14ac:dyDescent="0.25"/>
  <cols>
    <col min="1" max="1" width="11.42578125" customWidth="1"/>
    <col min="3" max="3" width="17.42578125" customWidth="1"/>
    <col min="5" max="5" width="11" customWidth="1"/>
    <col min="6" max="6" width="11.140625" customWidth="1"/>
    <col min="7" max="7" width="10.5703125" customWidth="1"/>
    <col min="13" max="13" width="10.140625" bestFit="1" customWidth="1"/>
    <col min="16" max="16" width="9.7109375" customWidth="1"/>
  </cols>
  <sheetData>
    <row r="1" spans="1:10" ht="21" x14ac:dyDescent="0.35">
      <c r="A1" s="2" t="s">
        <v>176</v>
      </c>
      <c r="E1">
        <f>SUM(E4:E1048576)</f>
        <v>0</v>
      </c>
      <c r="F1">
        <f>SUM(F4:F1048576)</f>
        <v>0</v>
      </c>
      <c r="G1">
        <f>E1-F1</f>
        <v>0</v>
      </c>
      <c r="J1">
        <v>84</v>
      </c>
    </row>
    <row r="2" spans="1:10" ht="28.5" x14ac:dyDescent="0.45">
      <c r="A2" t="s">
        <v>15</v>
      </c>
      <c r="B2" t="s">
        <v>19</v>
      </c>
      <c r="C2" t="s">
        <v>7</v>
      </c>
      <c r="D2" t="s">
        <v>18</v>
      </c>
      <c r="E2" t="s">
        <v>10</v>
      </c>
      <c r="F2" t="s">
        <v>13</v>
      </c>
      <c r="G2" t="s">
        <v>6</v>
      </c>
    </row>
    <row r="4" spans="1:10" x14ac:dyDescent="0.25">
      <c r="A4" s="5"/>
    </row>
    <row r="5" spans="1:10" x14ac:dyDescent="0.25">
      <c r="A5" s="5"/>
    </row>
    <row r="6" spans="1:10" x14ac:dyDescent="0.25">
      <c r="A6" s="5"/>
    </row>
    <row r="12" spans="1:10" x14ac:dyDescent="0.25">
      <c r="A12" s="5"/>
    </row>
    <row r="14" spans="1:10" ht="16.149999999999999" customHeight="1" x14ac:dyDescent="0.25"/>
    <row r="20" spans="4:4" x14ac:dyDescent="0.25">
      <c r="D20" s="33"/>
    </row>
    <row r="26" spans="4:4" ht="15.6" customHeight="1" x14ac:dyDescent="0.25"/>
    <row r="32" spans="4:4" ht="21.6" customHeight="1" x14ac:dyDescent="0.25"/>
    <row r="33" spans="1:1" x14ac:dyDescent="0.25">
      <c r="A33" s="33"/>
    </row>
    <row r="67" ht="15.75" customHeight="1" x14ac:dyDescent="0.25"/>
    <row r="78" ht="15" customHeight="1" x14ac:dyDescent="0.25"/>
    <row r="79" hidden="1" x14ac:dyDescent="0.25"/>
    <row r="80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83"/>
  <dimension ref="A1:I9"/>
  <sheetViews>
    <sheetView workbookViewId="0">
      <selection activeCell="A9" sqref="A9"/>
    </sheetView>
  </sheetViews>
  <sheetFormatPr defaultRowHeight="15" x14ac:dyDescent="0.25"/>
  <cols>
    <col min="1" max="1" width="1.5703125" bestFit="1" customWidth="1"/>
    <col min="2" max="2" width="1.42578125"/>
    <col min="3" max="3" width="3.42578125" customWidth="1"/>
    <col min="4" max="4" width="1.42578125"/>
    <col min="5" max="5" width="1.85546875" customWidth="1"/>
    <col min="6" max="6" width="1.7109375" customWidth="1"/>
    <col min="7" max="7" width="1.85546875" customWidth="1"/>
    <col min="8" max="8" width="2" customWidth="1"/>
  </cols>
  <sheetData>
    <row r="1" spans="1:9" ht="36" x14ac:dyDescent="0.55000000000000004">
      <c r="A1" s="7" t="s">
        <v>41</v>
      </c>
      <c r="E1">
        <f>SUM(E4:E1048576)</f>
        <v>159966</v>
      </c>
      <c r="F1">
        <f>SUM(F4:F1048576)</f>
        <v>159966</v>
      </c>
      <c r="G1">
        <f>E1-F1</f>
        <v>0</v>
      </c>
      <c r="H1">
        <v>263</v>
      </c>
    </row>
    <row r="3" spans="1:9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  <c r="I3" t="s">
        <v>74</v>
      </c>
    </row>
    <row r="5" spans="1:9" x14ac:dyDescent="0.25">
      <c r="A5" t="s">
        <v>79</v>
      </c>
      <c r="C5" t="s">
        <v>80</v>
      </c>
      <c r="E5">
        <v>116250</v>
      </c>
      <c r="G5">
        <f>E5-F5+G4</f>
        <v>116250</v>
      </c>
    </row>
    <row r="6" spans="1:9" x14ac:dyDescent="0.25">
      <c r="A6" t="s">
        <v>81</v>
      </c>
      <c r="B6">
        <v>881</v>
      </c>
      <c r="C6" t="s">
        <v>71</v>
      </c>
      <c r="F6">
        <v>100000</v>
      </c>
      <c r="G6">
        <f>E6-F6+G5</f>
        <v>16250</v>
      </c>
    </row>
    <row r="7" spans="1:9" x14ac:dyDescent="0.25">
      <c r="A7" t="s">
        <v>82</v>
      </c>
      <c r="B7">
        <v>906</v>
      </c>
      <c r="C7" t="s">
        <v>83</v>
      </c>
      <c r="E7">
        <v>43716</v>
      </c>
      <c r="G7">
        <f>E7-F7+G6</f>
        <v>59966</v>
      </c>
    </row>
    <row r="8" spans="1:9" x14ac:dyDescent="0.25">
      <c r="A8" t="s">
        <v>84</v>
      </c>
      <c r="B8">
        <v>994</v>
      </c>
      <c r="C8" t="s">
        <v>71</v>
      </c>
      <c r="F8">
        <v>59966</v>
      </c>
      <c r="G8">
        <f>E8-F8+G7</f>
        <v>0</v>
      </c>
    </row>
    <row r="9" spans="1:9" x14ac:dyDescent="0.25">
      <c r="G9">
        <f>E9-F9+G8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/>
  <dimension ref="A1:I33"/>
  <sheetViews>
    <sheetView zoomScale="180" zoomScaleNormal="180" workbookViewId="0">
      <selection activeCell="A4" sqref="A4"/>
    </sheetView>
  </sheetViews>
  <sheetFormatPr defaultRowHeight="15" x14ac:dyDescent="0.25"/>
  <cols>
    <col min="1" max="1" width="10.5703125" customWidth="1"/>
    <col min="3" max="3" width="22.7109375" bestFit="1" customWidth="1"/>
    <col min="7" max="7" width="10.42578125" style="30" bestFit="1" customWidth="1"/>
    <col min="8" max="8" width="12.140625" style="30" bestFit="1" customWidth="1"/>
  </cols>
  <sheetData>
    <row r="1" spans="1:9" ht="26.25" x14ac:dyDescent="0.4">
      <c r="A1" s="15" t="s">
        <v>172</v>
      </c>
      <c r="F1">
        <f>SUM(F4:F1048576)</f>
        <v>0</v>
      </c>
      <c r="G1" s="30">
        <f>SUM(G4:G1048576)</f>
        <v>0</v>
      </c>
      <c r="H1" s="30">
        <f>F1-G1</f>
        <v>0</v>
      </c>
    </row>
    <row r="3" spans="1:9" x14ac:dyDescent="0.25">
      <c r="A3" t="s">
        <v>21</v>
      </c>
      <c r="B3" t="s">
        <v>38</v>
      </c>
      <c r="C3" t="s">
        <v>26</v>
      </c>
      <c r="D3" t="s">
        <v>3</v>
      </c>
      <c r="E3" t="s">
        <v>193</v>
      </c>
      <c r="F3" t="s">
        <v>24</v>
      </c>
      <c r="G3" s="30" t="s">
        <v>25</v>
      </c>
      <c r="H3" s="30" t="s">
        <v>6</v>
      </c>
    </row>
    <row r="5" spans="1:9" x14ac:dyDescent="0.25">
      <c r="A5" s="5"/>
    </row>
    <row r="6" spans="1:9" x14ac:dyDescent="0.25">
      <c r="A6" s="5"/>
    </row>
    <row r="7" spans="1:9" x14ac:dyDescent="0.25">
      <c r="A7" s="5"/>
      <c r="I7" t="s">
        <v>197</v>
      </c>
    </row>
    <row r="8" spans="1:9" x14ac:dyDescent="0.25">
      <c r="A8" s="5"/>
    </row>
    <row r="9" spans="1:9" x14ac:dyDescent="0.25">
      <c r="A9" s="5"/>
    </row>
    <row r="10" spans="1:9" x14ac:dyDescent="0.25">
      <c r="A10" s="5"/>
    </row>
    <row r="11" spans="1:9" x14ac:dyDescent="0.25">
      <c r="A11" s="5"/>
    </row>
    <row r="12" spans="1:9" x14ac:dyDescent="0.25">
      <c r="A12" s="5"/>
    </row>
    <row r="13" spans="1:9" x14ac:dyDescent="0.25">
      <c r="A13" s="5"/>
    </row>
    <row r="14" spans="1:9" x14ac:dyDescent="0.25">
      <c r="A14" s="5"/>
    </row>
    <row r="15" spans="1:9" x14ac:dyDescent="0.25">
      <c r="A15" s="5"/>
    </row>
    <row r="16" spans="1:9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6" spans="1:4" ht="17.25" customHeight="1" x14ac:dyDescent="0.25"/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C28A-FD90-4077-B025-C6F6E9026929}">
  <sheetPr codeName="Sheet85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4"/>
  <dimension ref="A1:I144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9" style="33" bestFit="1" customWidth="1"/>
    <col min="3" max="3" width="29.28515625" style="33" bestFit="1" customWidth="1"/>
    <col min="4" max="5" width="9" style="33" bestFit="1" customWidth="1"/>
    <col min="6" max="6" width="10.5703125" style="33" bestFit="1" customWidth="1"/>
    <col min="7" max="8" width="11.5703125" style="34" bestFit="1" customWidth="1"/>
    <col min="9" max="9" width="10.140625" style="33" bestFit="1" customWidth="1"/>
    <col min="10" max="16384" width="8.85546875" style="33"/>
  </cols>
  <sheetData>
    <row r="1" spans="1:9" ht="25.5" x14ac:dyDescent="0.35">
      <c r="A1" s="52" t="s">
        <v>121</v>
      </c>
      <c r="F1" s="33">
        <f>SUM(F4:F1048576)</f>
        <v>0</v>
      </c>
      <c r="G1" s="34">
        <f>SUM(G4:G1048576)</f>
        <v>0</v>
      </c>
      <c r="H1" s="34">
        <f>F1-G1</f>
        <v>0</v>
      </c>
      <c r="I1" s="33">
        <v>95</v>
      </c>
    </row>
    <row r="2" spans="1:9" x14ac:dyDescent="0.25">
      <c r="A2" s="33" t="s">
        <v>0</v>
      </c>
      <c r="B2" s="33" t="s">
        <v>1</v>
      </c>
      <c r="C2" s="33" t="s">
        <v>7</v>
      </c>
      <c r="D2" s="33" t="s">
        <v>3</v>
      </c>
      <c r="E2" s="33" t="s">
        <v>193</v>
      </c>
      <c r="F2" s="33" t="s">
        <v>11</v>
      </c>
      <c r="G2" s="34" t="s">
        <v>9</v>
      </c>
      <c r="H2" s="34" t="s">
        <v>6</v>
      </c>
    </row>
    <row r="4" spans="1:9" x14ac:dyDescent="0.25">
      <c r="A4" s="35"/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6" x14ac:dyDescent="0.25">
      <c r="A33" s="35"/>
    </row>
    <row r="34" spans="1:6" x14ac:dyDescent="0.25">
      <c r="A34" s="35"/>
    </row>
    <row r="35" spans="1:6" x14ac:dyDescent="0.25">
      <c r="A35" s="35"/>
    </row>
    <row r="36" spans="1:6" x14ac:dyDescent="0.25">
      <c r="A36" s="35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6"/>
  <dimension ref="A1:G60"/>
  <sheetViews>
    <sheetView workbookViewId="0">
      <selection activeCell="A33" sqref="A33"/>
    </sheetView>
  </sheetViews>
  <sheetFormatPr defaultRowHeight="15" x14ac:dyDescent="0.25"/>
  <cols>
    <col min="1" max="1" width="10.28515625" customWidth="1"/>
    <col min="3" max="3" width="19" customWidth="1"/>
    <col min="5" max="5" width="10.5703125" customWidth="1"/>
    <col min="6" max="6" width="11.85546875" customWidth="1"/>
    <col min="7" max="7" width="12.7109375" customWidth="1"/>
    <col min="8" max="8" width="10" bestFit="1" customWidth="1"/>
  </cols>
  <sheetData>
    <row r="1" spans="1:7" ht="26.25" x14ac:dyDescent="0.4">
      <c r="A1" s="15" t="s">
        <v>89</v>
      </c>
      <c r="D1">
        <v>93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7</v>
      </c>
      <c r="D3" t="s">
        <v>18</v>
      </c>
      <c r="E3" t="s">
        <v>24</v>
      </c>
      <c r="F3" t="s">
        <v>9</v>
      </c>
      <c r="G3" t="s">
        <v>6</v>
      </c>
    </row>
    <row r="20" spans="4:4" x14ac:dyDescent="0.25">
      <c r="D20" s="33"/>
    </row>
    <row r="33" spans="1:1" x14ac:dyDescent="0.25">
      <c r="A33" s="33"/>
    </row>
    <row r="60" ht="1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43"/>
  <dimension ref="A1:I33"/>
  <sheetViews>
    <sheetView workbookViewId="0">
      <selection activeCell="A33" sqref="A33"/>
    </sheetView>
  </sheetViews>
  <sheetFormatPr defaultRowHeight="15" x14ac:dyDescent="0.25"/>
  <cols>
    <col min="1" max="1" width="10.42578125" customWidth="1"/>
    <col min="3" max="3" width="41.140625" bestFit="1" customWidth="1"/>
  </cols>
  <sheetData>
    <row r="1" spans="1:9" ht="26.25" x14ac:dyDescent="0.4">
      <c r="A1" s="15" t="s">
        <v>61</v>
      </c>
      <c r="D1">
        <v>82</v>
      </c>
      <c r="E1">
        <f>SUM(E4:E1048576)</f>
        <v>0</v>
      </c>
      <c r="F1">
        <f>SUM(F4:F1048576)</f>
        <v>0</v>
      </c>
      <c r="G1">
        <f>E1-F1</f>
        <v>0</v>
      </c>
    </row>
    <row r="3" spans="1:9" x14ac:dyDescent="0.25">
      <c r="A3" t="s">
        <v>0</v>
      </c>
      <c r="B3" t="s">
        <v>1</v>
      </c>
      <c r="C3" t="s">
        <v>7</v>
      </c>
      <c r="D3" t="s">
        <v>18</v>
      </c>
      <c r="E3" t="s">
        <v>11</v>
      </c>
      <c r="F3" t="s">
        <v>9</v>
      </c>
      <c r="G3" t="s">
        <v>6</v>
      </c>
      <c r="I3" t="s">
        <v>72</v>
      </c>
    </row>
    <row r="6" spans="1:9" ht="28.5" x14ac:dyDescent="0.45">
      <c r="C6" s="1"/>
    </row>
    <row r="7" spans="1:9" ht="28.5" x14ac:dyDescent="0.45">
      <c r="C7" s="1"/>
    </row>
    <row r="20" spans="4:4" x14ac:dyDescent="0.25">
      <c r="D20" s="33"/>
    </row>
    <row r="23" spans="4:4" ht="17.25" customHeight="1" x14ac:dyDescent="0.25"/>
    <row r="33" spans="1:1" x14ac:dyDescent="0.25">
      <c r="A33" s="33"/>
    </row>
  </sheetData>
  <pageMargins left="0.7" right="0.7" top="0.75" bottom="0.75" header="0.3" footer="0.3"/>
  <pageSetup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7"/>
  <dimension ref="A1:J335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28515625" style="33" customWidth="1"/>
    <col min="2" max="2" width="8.85546875" style="33"/>
    <col min="3" max="3" width="23.85546875" style="33" customWidth="1"/>
    <col min="4" max="8" width="8.85546875" style="33"/>
    <col min="9" max="9" width="12" style="33" bestFit="1" customWidth="1"/>
    <col min="10" max="16384" width="8.85546875" style="33"/>
  </cols>
  <sheetData>
    <row r="1" spans="1:10" ht="25.5" x14ac:dyDescent="0.35">
      <c r="A1" s="52" t="s">
        <v>39</v>
      </c>
      <c r="D1" s="33">
        <v>155</v>
      </c>
      <c r="F1" s="33">
        <f>SUM(F4:F1048576)</f>
        <v>0</v>
      </c>
      <c r="G1" s="33">
        <f>SUM(G4:G1048576)</f>
        <v>0</v>
      </c>
      <c r="H1" s="33">
        <f>F1-G1</f>
        <v>0</v>
      </c>
    </row>
    <row r="3" spans="1:10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3" t="s">
        <v>25</v>
      </c>
      <c r="H3" s="33" t="s">
        <v>6</v>
      </c>
      <c r="J3" s="33" t="s">
        <v>72</v>
      </c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7" x14ac:dyDescent="0.25">
      <c r="A17" s="35"/>
    </row>
    <row r="18" spans="1:7" x14ac:dyDescent="0.25">
      <c r="A18" s="35"/>
      <c r="F18" s="34"/>
      <c r="G18" s="34"/>
    </row>
    <row r="19" spans="1:7" x14ac:dyDescent="0.25">
      <c r="A19" s="35"/>
      <c r="F19" s="34"/>
    </row>
    <row r="20" spans="1:7" x14ac:dyDescent="0.25">
      <c r="A20" s="35"/>
      <c r="F20" s="34"/>
    </row>
    <row r="21" spans="1:7" x14ac:dyDescent="0.25">
      <c r="A21" s="35"/>
      <c r="F21" s="34"/>
    </row>
    <row r="22" spans="1:7" x14ac:dyDescent="0.25">
      <c r="A22" s="35"/>
      <c r="F22" s="34"/>
    </row>
    <row r="23" spans="1:7" x14ac:dyDescent="0.25">
      <c r="A23" s="35"/>
      <c r="F23" s="34"/>
      <c r="G23" s="34"/>
    </row>
    <row r="24" spans="1:7" x14ac:dyDescent="0.25">
      <c r="A24" s="35"/>
      <c r="F24" s="34"/>
    </row>
    <row r="25" spans="1:7" x14ac:dyDescent="0.25">
      <c r="A25" s="35"/>
    </row>
    <row r="26" spans="1:7" x14ac:dyDescent="0.25">
      <c r="A26" s="35"/>
    </row>
    <row r="27" spans="1:7" x14ac:dyDescent="0.25">
      <c r="A27" s="35"/>
    </row>
    <row r="28" spans="1:7" x14ac:dyDescent="0.25">
      <c r="A28" s="35"/>
    </row>
    <row r="29" spans="1:7" x14ac:dyDescent="0.25">
      <c r="A29" s="35"/>
    </row>
    <row r="30" spans="1:7" x14ac:dyDescent="0.25">
      <c r="A30" s="35"/>
    </row>
    <row r="31" spans="1:7" x14ac:dyDescent="0.25">
      <c r="A31" s="35"/>
    </row>
    <row r="32" spans="1:7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</sheetData>
  <phoneticPr fontId="21" type="noConversion"/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41"/>
  <dimension ref="A1:K85"/>
  <sheetViews>
    <sheetView workbookViewId="0">
      <selection activeCell="A33" sqref="A33"/>
    </sheetView>
  </sheetViews>
  <sheetFormatPr defaultRowHeight="15" x14ac:dyDescent="0.25"/>
  <cols>
    <col min="1" max="1" width="11.140625" customWidth="1"/>
    <col min="3" max="3" width="18.7109375" customWidth="1"/>
  </cols>
  <sheetData>
    <row r="1" spans="1:9" ht="26.25" x14ac:dyDescent="0.4">
      <c r="A1" s="15" t="s">
        <v>180</v>
      </c>
      <c r="E1">
        <f>SUM(E4:E1048576)</f>
        <v>0</v>
      </c>
      <c r="F1">
        <f>SUM(F4:F1048576)</f>
        <v>0</v>
      </c>
      <c r="G1">
        <f>E1-F1</f>
        <v>0</v>
      </c>
      <c r="I1">
        <v>117</v>
      </c>
    </row>
    <row r="2" spans="1:9" x14ac:dyDescent="0.25">
      <c r="A2" t="s">
        <v>15</v>
      </c>
      <c r="B2" t="s">
        <v>1</v>
      </c>
      <c r="C2" t="s">
        <v>7</v>
      </c>
      <c r="D2" t="s">
        <v>18</v>
      </c>
      <c r="E2" t="s">
        <v>11</v>
      </c>
      <c r="F2" t="s">
        <v>9</v>
      </c>
      <c r="G2" t="s">
        <v>6</v>
      </c>
    </row>
    <row r="20" spans="4:4" x14ac:dyDescent="0.25">
      <c r="D20" s="33"/>
    </row>
    <row r="33" spans="1:11" x14ac:dyDescent="0.25">
      <c r="A33" s="33"/>
    </row>
    <row r="46" spans="1:11" x14ac:dyDescent="0.25">
      <c r="K46" t="s">
        <v>29</v>
      </c>
    </row>
    <row r="85" spans="11:11" x14ac:dyDescent="0.25">
      <c r="K85" t="s">
        <v>30</v>
      </c>
    </row>
  </sheetData>
  <pageMargins left="0.7" right="0.7" top="0.75" bottom="0.75" header="0.3" footer="0.3"/>
  <pageSetup orientation="portrait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8"/>
  <dimension ref="A1:G33"/>
  <sheetViews>
    <sheetView workbookViewId="0">
      <selection activeCell="A33" sqref="A33"/>
    </sheetView>
  </sheetViews>
  <sheetFormatPr defaultRowHeight="15" x14ac:dyDescent="0.25"/>
  <cols>
    <col min="1" max="1" width="11.28515625" customWidth="1"/>
    <col min="3" max="3" width="20.140625" customWidth="1"/>
  </cols>
  <sheetData>
    <row r="1" spans="1:7" ht="26.25" x14ac:dyDescent="0.4">
      <c r="A1" s="15" t="s">
        <v>166</v>
      </c>
      <c r="E1">
        <f>SUM(E4:E1048576)</f>
        <v>0</v>
      </c>
      <c r="F1">
        <f>SUM(F4:F1048576)</f>
        <v>0</v>
      </c>
      <c r="G1">
        <f>E1-F1</f>
        <v>0</v>
      </c>
    </row>
    <row r="3" spans="1:7" ht="18.75" customHeight="1" x14ac:dyDescent="0.25">
      <c r="A3" t="s">
        <v>0</v>
      </c>
      <c r="B3" t="s">
        <v>1</v>
      </c>
      <c r="C3" t="s">
        <v>7</v>
      </c>
      <c r="D3" t="s">
        <v>18</v>
      </c>
      <c r="E3" t="s">
        <v>24</v>
      </c>
      <c r="F3" t="s">
        <v>9</v>
      </c>
      <c r="G3" t="s">
        <v>6</v>
      </c>
    </row>
    <row r="20" spans="4:4" x14ac:dyDescent="0.25">
      <c r="D20" s="33"/>
    </row>
    <row r="33" spans="1:1" x14ac:dyDescent="0.25">
      <c r="A33" s="33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89"/>
  <dimension ref="A1:H93"/>
  <sheetViews>
    <sheetView zoomScale="180" zoomScaleNormal="180" workbookViewId="0">
      <selection activeCell="A4" sqref="A4"/>
    </sheetView>
  </sheetViews>
  <sheetFormatPr defaultRowHeight="15" x14ac:dyDescent="0.25"/>
  <cols>
    <col min="1" max="1" width="10.28515625" customWidth="1"/>
    <col min="3" max="3" width="21.140625" customWidth="1"/>
  </cols>
  <sheetData>
    <row r="1" spans="1:8" ht="26.25" x14ac:dyDescent="0.4">
      <c r="A1" s="15" t="s">
        <v>168</v>
      </c>
      <c r="D1">
        <v>185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0</v>
      </c>
      <c r="B2" t="s">
        <v>1</v>
      </c>
      <c r="C2" t="s">
        <v>7</v>
      </c>
      <c r="D2" t="s">
        <v>18</v>
      </c>
      <c r="E2" t="s">
        <v>193</v>
      </c>
      <c r="F2" t="s">
        <v>11</v>
      </c>
      <c r="G2" t="s">
        <v>9</v>
      </c>
      <c r="H2" t="s">
        <v>6</v>
      </c>
    </row>
    <row r="5" spans="1:8" x14ac:dyDescent="0.25">
      <c r="A5" s="5"/>
    </row>
    <row r="6" spans="1:8" x14ac:dyDescent="0.25">
      <c r="A6" s="5"/>
    </row>
    <row r="7" spans="1:8" x14ac:dyDescent="0.25">
      <c r="A7" s="5"/>
    </row>
    <row r="8" spans="1:8" x14ac:dyDescent="0.25">
      <c r="A8" s="5"/>
    </row>
    <row r="9" spans="1:8" x14ac:dyDescent="0.25">
      <c r="A9" s="5"/>
    </row>
    <row r="10" spans="1:8" x14ac:dyDescent="0.25">
      <c r="A10" s="5"/>
    </row>
    <row r="11" spans="1:8" x14ac:dyDescent="0.25">
      <c r="A11" s="5"/>
    </row>
    <row r="12" spans="1:8" x14ac:dyDescent="0.25">
      <c r="A12" s="5"/>
    </row>
    <row r="13" spans="1:8" x14ac:dyDescent="0.25">
      <c r="A13" s="5"/>
    </row>
    <row r="14" spans="1:8" x14ac:dyDescent="0.25">
      <c r="A14" s="5"/>
    </row>
    <row r="15" spans="1:8" x14ac:dyDescent="0.25">
      <c r="A15" s="5"/>
    </row>
    <row r="20" spans="4:4" x14ac:dyDescent="0.25">
      <c r="D20" s="33"/>
    </row>
    <row r="24" spans="4:4" ht="14.25" customHeight="1" x14ac:dyDescent="0.25"/>
    <row r="33" spans="1:1" x14ac:dyDescent="0.25">
      <c r="A33" s="33"/>
    </row>
    <row r="93" ht="15.75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37"/>
  <dimension ref="A1:N59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1.28515625" style="33" customWidth="1"/>
    <col min="2" max="2" width="8.85546875" style="33"/>
    <col min="3" max="3" width="19.85546875" style="33" customWidth="1"/>
    <col min="4" max="5" width="8.85546875" style="33"/>
    <col min="6" max="6" width="10.7109375" style="34" customWidth="1"/>
    <col min="7" max="7" width="10.85546875" style="34" customWidth="1"/>
    <col min="8" max="8" width="12" style="34" bestFit="1" customWidth="1"/>
    <col min="9" max="9" width="12" style="33" bestFit="1" customWidth="1"/>
    <col min="10" max="16384" width="8.85546875" style="33"/>
  </cols>
  <sheetData>
    <row r="1" spans="1:14" ht="25.5" x14ac:dyDescent="0.35">
      <c r="A1" s="52" t="s">
        <v>119</v>
      </c>
      <c r="D1" s="33">
        <v>159</v>
      </c>
      <c r="F1" s="34">
        <f>SUM(F4:F1048576)</f>
        <v>0</v>
      </c>
      <c r="G1" s="34">
        <f>SUM(G4:G1048576)</f>
        <v>0</v>
      </c>
      <c r="H1" s="34">
        <f>F1-G1</f>
        <v>0</v>
      </c>
    </row>
    <row r="2" spans="1:14" x14ac:dyDescent="0.25">
      <c r="A2" s="33" t="s">
        <v>0</v>
      </c>
      <c r="B2" s="33" t="s">
        <v>1</v>
      </c>
      <c r="C2" s="33" t="s">
        <v>17</v>
      </c>
      <c r="D2" s="33" t="s">
        <v>18</v>
      </c>
      <c r="E2" s="33" t="s">
        <v>193</v>
      </c>
      <c r="F2" s="34" t="s">
        <v>11</v>
      </c>
      <c r="G2" s="34" t="s">
        <v>9</v>
      </c>
      <c r="H2" s="34" t="s">
        <v>6</v>
      </c>
    </row>
    <row r="3" spans="1:14" x14ac:dyDescent="0.25"/>
    <row r="5" spans="1:14" x14ac:dyDescent="0.25">
      <c r="A5" s="35"/>
    </row>
    <row r="6" spans="1:14" x14ac:dyDescent="0.25">
      <c r="A6" s="35"/>
    </row>
    <row r="7" spans="1:14" x14ac:dyDescent="0.25">
      <c r="A7" s="35"/>
    </row>
    <row r="8" spans="1:14" x14ac:dyDescent="0.25">
      <c r="A8" s="35"/>
    </row>
    <row r="9" spans="1:14" x14ac:dyDescent="0.25">
      <c r="A9" s="35"/>
    </row>
    <row r="10" spans="1:14" x14ac:dyDescent="0.25">
      <c r="A10" s="35"/>
    </row>
    <row r="11" spans="1:14" x14ac:dyDescent="0.25">
      <c r="A11" s="35"/>
    </row>
    <row r="12" spans="1:14" x14ac:dyDescent="0.25">
      <c r="A12" s="35"/>
    </row>
    <row r="13" spans="1:14" x14ac:dyDescent="0.25">
      <c r="A13" s="35"/>
    </row>
    <row r="14" spans="1:14" x14ac:dyDescent="0.25">
      <c r="A14" s="35"/>
    </row>
    <row r="15" spans="1:14" x14ac:dyDescent="0.25">
      <c r="A15" s="35"/>
    </row>
    <row r="16" spans="1:14" x14ac:dyDescent="0.25">
      <c r="A16" s="35"/>
    </row>
    <row r="17" spans="1:9" x14ac:dyDescent="0.25">
      <c r="A17" s="35"/>
    </row>
    <row r="18" spans="1:9" x14ac:dyDescent="0.25">
      <c r="A18" s="35"/>
      <c r="I18" s="33" t="s">
        <v>197</v>
      </c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  <c r="I24" s="33" t="s">
        <v>197</v>
      </c>
    </row>
    <row r="25" spans="1:9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</row>
    <row r="30" spans="1:9" x14ac:dyDescent="0.25">
      <c r="A30" s="35"/>
    </row>
    <row r="31" spans="1:9" x14ac:dyDescent="0.25">
      <c r="A31" s="35"/>
    </row>
    <row r="32" spans="1:9" x14ac:dyDescent="0.25">
      <c r="A32" s="35"/>
      <c r="I32" s="33" t="s">
        <v>197</v>
      </c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9" x14ac:dyDescent="0.25">
      <c r="A65" s="35"/>
    </row>
    <row r="66" spans="1:9" x14ac:dyDescent="0.25">
      <c r="A66" s="35"/>
    </row>
    <row r="67" spans="1:9" x14ac:dyDescent="0.25">
      <c r="A67" s="35"/>
      <c r="I67" s="33" t="s">
        <v>197</v>
      </c>
    </row>
    <row r="68" spans="1:9" x14ac:dyDescent="0.25">
      <c r="A68" s="35"/>
    </row>
    <row r="69" spans="1:9" x14ac:dyDescent="0.25">
      <c r="A69" s="35"/>
    </row>
    <row r="70" spans="1:9" x14ac:dyDescent="0.25">
      <c r="A70" s="35"/>
    </row>
    <row r="71" spans="1:9" x14ac:dyDescent="0.25">
      <c r="A71" s="35"/>
    </row>
    <row r="72" spans="1:9" x14ac:dyDescent="0.25">
      <c r="A72" s="35"/>
    </row>
    <row r="73" spans="1:9" x14ac:dyDescent="0.25">
      <c r="A73" s="35"/>
    </row>
    <row r="74" spans="1:9" x14ac:dyDescent="0.25">
      <c r="A74" s="35"/>
    </row>
    <row r="75" spans="1:9" x14ac:dyDescent="0.25">
      <c r="A75" s="35"/>
    </row>
    <row r="76" spans="1:9" x14ac:dyDescent="0.25">
      <c r="A76" s="35"/>
    </row>
    <row r="77" spans="1:9" x14ac:dyDescent="0.25">
      <c r="A77" s="35"/>
    </row>
    <row r="78" spans="1:9" x14ac:dyDescent="0.25">
      <c r="A78" s="35"/>
    </row>
    <row r="79" spans="1:9" x14ac:dyDescent="0.25">
      <c r="A79" s="35"/>
    </row>
    <row r="80" spans="1:9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9" x14ac:dyDescent="0.25">
      <c r="A97" s="35"/>
    </row>
    <row r="98" spans="1:9" x14ac:dyDescent="0.25">
      <c r="A98" s="35"/>
    </row>
    <row r="99" spans="1:9" x14ac:dyDescent="0.25">
      <c r="A99" s="35"/>
    </row>
    <row r="100" spans="1:9" x14ac:dyDescent="0.25">
      <c r="A100" s="35"/>
    </row>
    <row r="101" spans="1:9" x14ac:dyDescent="0.25">
      <c r="A101" s="35"/>
    </row>
    <row r="102" spans="1:9" x14ac:dyDescent="0.25">
      <c r="A102" s="35"/>
    </row>
    <row r="103" spans="1:9" x14ac:dyDescent="0.25">
      <c r="A103" s="35"/>
      <c r="I103" s="33" t="s">
        <v>197</v>
      </c>
    </row>
    <row r="104" spans="1:9" x14ac:dyDescent="0.25">
      <c r="A104" s="35"/>
    </row>
    <row r="105" spans="1:9" x14ac:dyDescent="0.25">
      <c r="A105" s="35"/>
    </row>
    <row r="106" spans="1:9" x14ac:dyDescent="0.25">
      <c r="A106" s="35"/>
    </row>
    <row r="107" spans="1:9" x14ac:dyDescent="0.25">
      <c r="A107" s="35"/>
    </row>
    <row r="108" spans="1:9" x14ac:dyDescent="0.25">
      <c r="A108" s="35"/>
    </row>
    <row r="109" spans="1:9" x14ac:dyDescent="0.25">
      <c r="A109" s="35"/>
    </row>
    <row r="110" spans="1:9" x14ac:dyDescent="0.25">
      <c r="A110" s="35"/>
    </row>
    <row r="111" spans="1:9" x14ac:dyDescent="0.25">
      <c r="A111" s="35"/>
    </row>
    <row r="112" spans="1:9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44" spans="1:1" x14ac:dyDescent="0.25">
      <c r="A144" s="35"/>
    </row>
    <row r="145" spans="1:1" x14ac:dyDescent="0.25">
      <c r="A145" s="35"/>
    </row>
    <row r="146" spans="1:1" x14ac:dyDescent="0.25">
      <c r="A146" s="35"/>
    </row>
    <row r="147" spans="1:1" x14ac:dyDescent="0.25">
      <c r="A147" s="35"/>
    </row>
    <row r="148" spans="1:1" x14ac:dyDescent="0.25">
      <c r="A148" s="35"/>
    </row>
    <row r="149" spans="1:1" x14ac:dyDescent="0.25">
      <c r="A149" s="35"/>
    </row>
    <row r="150" spans="1:1" x14ac:dyDescent="0.25">
      <c r="A150" s="35"/>
    </row>
    <row r="151" spans="1:1" x14ac:dyDescent="0.25">
      <c r="A151" s="35"/>
    </row>
    <row r="152" spans="1:1" x14ac:dyDescent="0.25">
      <c r="A152" s="35"/>
    </row>
    <row r="153" spans="1:1" x14ac:dyDescent="0.25">
      <c r="A153" s="35"/>
    </row>
    <row r="154" spans="1:1" x14ac:dyDescent="0.25">
      <c r="A154" s="35"/>
    </row>
    <row r="155" spans="1:1" x14ac:dyDescent="0.25">
      <c r="A155" s="35"/>
    </row>
    <row r="156" spans="1:1" x14ac:dyDescent="0.25">
      <c r="A156" s="35"/>
    </row>
    <row r="157" spans="1:1" x14ac:dyDescent="0.25">
      <c r="A157" s="35"/>
    </row>
    <row r="158" spans="1:1" x14ac:dyDescent="0.25">
      <c r="A158" s="35"/>
    </row>
    <row r="159" spans="1:1" x14ac:dyDescent="0.25">
      <c r="A159" s="35"/>
    </row>
    <row r="160" spans="1:1" x14ac:dyDescent="0.25">
      <c r="A160" s="35"/>
    </row>
    <row r="161" spans="1:1" x14ac:dyDescent="0.25">
      <c r="A161" s="35"/>
    </row>
    <row r="162" spans="1:1" x14ac:dyDescent="0.25">
      <c r="A162" s="35"/>
    </row>
    <row r="163" spans="1:1" x14ac:dyDescent="0.25">
      <c r="A163" s="35"/>
    </row>
    <row r="164" spans="1:1" x14ac:dyDescent="0.25">
      <c r="A164" s="35"/>
    </row>
    <row r="165" spans="1:1" x14ac:dyDescent="0.25">
      <c r="A165" s="35"/>
    </row>
    <row r="166" spans="1:1" x14ac:dyDescent="0.25">
      <c r="A166" s="35"/>
    </row>
    <row r="167" spans="1:1" x14ac:dyDescent="0.25">
      <c r="A167" s="35"/>
    </row>
    <row r="168" spans="1:1" x14ac:dyDescent="0.25">
      <c r="A168" s="35"/>
    </row>
    <row r="169" spans="1:1" x14ac:dyDescent="0.25">
      <c r="A169" s="35"/>
    </row>
    <row r="170" spans="1:1" x14ac:dyDescent="0.25">
      <c r="A170" s="35"/>
    </row>
    <row r="171" spans="1:1" x14ac:dyDescent="0.25">
      <c r="A171" s="35"/>
    </row>
    <row r="172" spans="1:1" x14ac:dyDescent="0.25">
      <c r="A172" s="35"/>
    </row>
    <row r="173" spans="1:1" x14ac:dyDescent="0.25">
      <c r="A173" s="35"/>
    </row>
    <row r="174" spans="1:1" x14ac:dyDescent="0.25">
      <c r="A174" s="35"/>
    </row>
    <row r="175" spans="1:1" x14ac:dyDescent="0.25">
      <c r="A175" s="35"/>
    </row>
    <row r="176" spans="1:1" x14ac:dyDescent="0.25">
      <c r="A176" s="35"/>
    </row>
    <row r="177" spans="1:1" x14ac:dyDescent="0.25">
      <c r="A177" s="35"/>
    </row>
    <row r="178" spans="1:1" x14ac:dyDescent="0.25">
      <c r="A178" s="35"/>
    </row>
    <row r="179" spans="1:1" x14ac:dyDescent="0.25">
      <c r="A179" s="35"/>
    </row>
    <row r="180" spans="1:1" x14ac:dyDescent="0.25">
      <c r="A180" s="35"/>
    </row>
    <row r="181" spans="1:1" x14ac:dyDescent="0.25">
      <c r="A181" s="35"/>
    </row>
    <row r="182" spans="1:1" x14ac:dyDescent="0.25">
      <c r="A182" s="35"/>
    </row>
    <row r="183" spans="1:1" x14ac:dyDescent="0.25">
      <c r="A183" s="35"/>
    </row>
    <row r="184" spans="1:1" x14ac:dyDescent="0.25">
      <c r="A184" s="35"/>
    </row>
    <row r="185" spans="1:1" x14ac:dyDescent="0.25">
      <c r="A185" s="35"/>
    </row>
    <row r="186" spans="1:1" x14ac:dyDescent="0.25">
      <c r="A186" s="35"/>
    </row>
    <row r="187" spans="1:1" x14ac:dyDescent="0.25">
      <c r="A187" s="35"/>
    </row>
    <row r="188" spans="1:1" x14ac:dyDescent="0.25">
      <c r="A188" s="35"/>
    </row>
    <row r="189" spans="1:1" x14ac:dyDescent="0.25">
      <c r="A189" s="35"/>
    </row>
    <row r="190" spans="1:1" x14ac:dyDescent="0.25">
      <c r="A190" s="35"/>
    </row>
    <row r="191" spans="1:1" x14ac:dyDescent="0.25">
      <c r="A191" s="35"/>
    </row>
    <row r="192" spans="1:1" x14ac:dyDescent="0.25">
      <c r="A192" s="35"/>
    </row>
    <row r="193" spans="1:1" x14ac:dyDescent="0.25">
      <c r="A193" s="35"/>
    </row>
    <row r="194" spans="1:1" x14ac:dyDescent="0.25">
      <c r="A194" s="35"/>
    </row>
    <row r="195" spans="1:1" x14ac:dyDescent="0.25">
      <c r="A195" s="35"/>
    </row>
    <row r="196" spans="1:1" x14ac:dyDescent="0.25">
      <c r="A196" s="35"/>
    </row>
    <row r="197" spans="1:1" x14ac:dyDescent="0.25">
      <c r="A197" s="35"/>
    </row>
    <row r="198" spans="1:1" x14ac:dyDescent="0.25">
      <c r="A198" s="35"/>
    </row>
    <row r="199" spans="1:1" x14ac:dyDescent="0.25">
      <c r="A199" s="35"/>
    </row>
    <row r="200" spans="1:1" x14ac:dyDescent="0.25">
      <c r="A200" s="35"/>
    </row>
    <row r="201" spans="1:1" x14ac:dyDescent="0.25">
      <c r="A201" s="35"/>
    </row>
    <row r="202" spans="1:1" x14ac:dyDescent="0.25">
      <c r="A202" s="35"/>
    </row>
    <row r="203" spans="1:1" x14ac:dyDescent="0.25">
      <c r="A203" s="35"/>
    </row>
    <row r="204" spans="1:1" x14ac:dyDescent="0.25">
      <c r="A204" s="35"/>
    </row>
    <row r="205" spans="1:1" x14ac:dyDescent="0.25">
      <c r="A205" s="35"/>
    </row>
    <row r="206" spans="1:1" x14ac:dyDescent="0.25">
      <c r="A206" s="35"/>
    </row>
    <row r="207" spans="1:1" x14ac:dyDescent="0.25">
      <c r="A207" s="35"/>
    </row>
    <row r="208" spans="1:1" x14ac:dyDescent="0.25">
      <c r="A208" s="35"/>
    </row>
    <row r="209" spans="1:1" x14ac:dyDescent="0.25">
      <c r="A209" s="35"/>
    </row>
    <row r="210" spans="1:1" x14ac:dyDescent="0.25">
      <c r="A210" s="35"/>
    </row>
    <row r="211" spans="1:1" x14ac:dyDescent="0.25">
      <c r="A211" s="35"/>
    </row>
    <row r="212" spans="1:1" x14ac:dyDescent="0.25">
      <c r="A212" s="35"/>
    </row>
    <row r="213" spans="1:1" x14ac:dyDescent="0.25">
      <c r="A213" s="35"/>
    </row>
    <row r="214" spans="1:1" x14ac:dyDescent="0.25">
      <c r="A214" s="35"/>
    </row>
    <row r="215" spans="1:1" x14ac:dyDescent="0.25">
      <c r="A215" s="35"/>
    </row>
    <row r="216" spans="1:1" x14ac:dyDescent="0.25">
      <c r="A216" s="35"/>
    </row>
    <row r="217" spans="1:1" x14ac:dyDescent="0.25">
      <c r="A217" s="35"/>
    </row>
    <row r="218" spans="1:1" x14ac:dyDescent="0.25">
      <c r="A218" s="35"/>
    </row>
    <row r="219" spans="1:1" x14ac:dyDescent="0.25">
      <c r="A219" s="35"/>
    </row>
    <row r="220" spans="1:1" x14ac:dyDescent="0.25">
      <c r="A220" s="35"/>
    </row>
    <row r="221" spans="1:1" x14ac:dyDescent="0.25">
      <c r="A221" s="35"/>
    </row>
    <row r="222" spans="1:1" x14ac:dyDescent="0.25">
      <c r="A222" s="35"/>
    </row>
    <row r="223" spans="1:1" x14ac:dyDescent="0.25">
      <c r="A223" s="35"/>
    </row>
    <row r="224" spans="1:1" x14ac:dyDescent="0.25">
      <c r="A224" s="35"/>
    </row>
    <row r="225" spans="1:1" x14ac:dyDescent="0.25">
      <c r="A225" s="35"/>
    </row>
    <row r="226" spans="1:1" x14ac:dyDescent="0.25">
      <c r="A226" s="35"/>
    </row>
    <row r="227" spans="1:1" x14ac:dyDescent="0.25">
      <c r="A227" s="35"/>
    </row>
    <row r="228" spans="1:1" x14ac:dyDescent="0.25">
      <c r="A228" s="35"/>
    </row>
    <row r="229" spans="1:1" x14ac:dyDescent="0.25">
      <c r="A229" s="35"/>
    </row>
    <row r="230" spans="1:1" x14ac:dyDescent="0.25">
      <c r="A230" s="35"/>
    </row>
    <row r="231" spans="1:1" x14ac:dyDescent="0.25">
      <c r="A231" s="35"/>
    </row>
    <row r="232" spans="1:1" x14ac:dyDescent="0.25">
      <c r="A232" s="35"/>
    </row>
    <row r="233" spans="1:1" x14ac:dyDescent="0.25">
      <c r="A233" s="35"/>
    </row>
    <row r="234" spans="1:1" x14ac:dyDescent="0.25">
      <c r="A234" s="35"/>
    </row>
    <row r="235" spans="1:1" x14ac:dyDescent="0.25">
      <c r="A235" s="35"/>
    </row>
    <row r="236" spans="1:1" x14ac:dyDescent="0.25">
      <c r="A236" s="35"/>
    </row>
    <row r="237" spans="1:1" x14ac:dyDescent="0.25">
      <c r="A237" s="35"/>
    </row>
    <row r="238" spans="1:1" x14ac:dyDescent="0.25">
      <c r="A238" s="35"/>
    </row>
    <row r="239" spans="1:1" x14ac:dyDescent="0.25">
      <c r="A239" s="35"/>
    </row>
    <row r="240" spans="1:1" x14ac:dyDescent="0.25">
      <c r="A240" s="35"/>
    </row>
    <row r="241" spans="1:1" x14ac:dyDescent="0.25">
      <c r="A241" s="35"/>
    </row>
    <row r="242" spans="1:1" x14ac:dyDescent="0.25">
      <c r="A242" s="35"/>
    </row>
    <row r="243" spans="1:1" x14ac:dyDescent="0.25">
      <c r="A243" s="35"/>
    </row>
    <row r="244" spans="1:1" x14ac:dyDescent="0.25">
      <c r="A244" s="35"/>
    </row>
    <row r="245" spans="1:1" x14ac:dyDescent="0.25">
      <c r="A245" s="35"/>
    </row>
    <row r="246" spans="1:1" x14ac:dyDescent="0.25">
      <c r="A246" s="35"/>
    </row>
    <row r="247" spans="1:1" x14ac:dyDescent="0.25">
      <c r="A247" s="35"/>
    </row>
    <row r="248" spans="1:1" x14ac:dyDescent="0.25">
      <c r="A248" s="35"/>
    </row>
    <row r="249" spans="1:1" x14ac:dyDescent="0.25">
      <c r="A249" s="35"/>
    </row>
    <row r="250" spans="1:1" x14ac:dyDescent="0.25">
      <c r="A250" s="35"/>
    </row>
    <row r="251" spans="1:1" x14ac:dyDescent="0.25">
      <c r="A251" s="35"/>
    </row>
    <row r="252" spans="1:1" x14ac:dyDescent="0.25">
      <c r="A252" s="35"/>
    </row>
    <row r="253" spans="1:1" x14ac:dyDescent="0.25">
      <c r="A253" s="35"/>
    </row>
    <row r="254" spans="1:1" x14ac:dyDescent="0.25">
      <c r="A254" s="35"/>
    </row>
    <row r="255" spans="1:1" x14ac:dyDescent="0.25">
      <c r="A255" s="35"/>
    </row>
    <row r="256" spans="1:1" x14ac:dyDescent="0.25">
      <c r="A256" s="35"/>
    </row>
    <row r="257" spans="1:1" x14ac:dyDescent="0.25">
      <c r="A257" s="35"/>
    </row>
    <row r="258" spans="1:1" x14ac:dyDescent="0.25">
      <c r="A258" s="35"/>
    </row>
    <row r="259" spans="1:1" x14ac:dyDescent="0.25">
      <c r="A259" s="35"/>
    </row>
    <row r="260" spans="1:1" x14ac:dyDescent="0.25">
      <c r="A260" s="35"/>
    </row>
    <row r="261" spans="1:1" x14ac:dyDescent="0.25">
      <c r="A261" s="35"/>
    </row>
    <row r="262" spans="1:1" x14ac:dyDescent="0.25">
      <c r="A262" s="35"/>
    </row>
    <row r="263" spans="1:1" x14ac:dyDescent="0.25">
      <c r="A263" s="35"/>
    </row>
    <row r="264" spans="1:1" x14ac:dyDescent="0.25">
      <c r="A264" s="35"/>
    </row>
    <row r="265" spans="1:1" x14ac:dyDescent="0.25">
      <c r="A265" s="35"/>
    </row>
    <row r="266" spans="1:1" x14ac:dyDescent="0.25">
      <c r="A266" s="35"/>
    </row>
    <row r="267" spans="1:1" x14ac:dyDescent="0.25">
      <c r="A267" s="35"/>
    </row>
    <row r="268" spans="1:1" x14ac:dyDescent="0.25">
      <c r="A268" s="35"/>
    </row>
    <row r="269" spans="1:1" x14ac:dyDescent="0.25">
      <c r="A269" s="35"/>
    </row>
    <row r="270" spans="1:1" x14ac:dyDescent="0.25">
      <c r="A270" s="35"/>
    </row>
    <row r="271" spans="1:1" x14ac:dyDescent="0.25">
      <c r="A271" s="35"/>
    </row>
    <row r="272" spans="1:1" x14ac:dyDescent="0.25">
      <c r="A272" s="35"/>
    </row>
    <row r="273" spans="1:1" x14ac:dyDescent="0.25">
      <c r="A273" s="35"/>
    </row>
    <row r="274" spans="1:1" x14ac:dyDescent="0.25">
      <c r="A274" s="35"/>
    </row>
    <row r="275" spans="1:1" x14ac:dyDescent="0.25">
      <c r="A275" s="35"/>
    </row>
    <row r="276" spans="1:1" x14ac:dyDescent="0.25">
      <c r="A276" s="35"/>
    </row>
    <row r="277" spans="1:1" x14ac:dyDescent="0.25">
      <c r="A277" s="35"/>
    </row>
    <row r="278" spans="1:1" x14ac:dyDescent="0.25">
      <c r="A278" s="35"/>
    </row>
    <row r="279" spans="1:1" x14ac:dyDescent="0.25">
      <c r="A279" s="35"/>
    </row>
    <row r="280" spans="1:1" x14ac:dyDescent="0.25">
      <c r="A280" s="35"/>
    </row>
    <row r="281" spans="1:1" x14ac:dyDescent="0.25">
      <c r="A281" s="35"/>
    </row>
    <row r="282" spans="1:1" x14ac:dyDescent="0.25">
      <c r="A282" s="35"/>
    </row>
    <row r="283" spans="1:1" x14ac:dyDescent="0.25">
      <c r="A283" s="35"/>
    </row>
    <row r="284" spans="1:1" x14ac:dyDescent="0.25">
      <c r="A284" s="35"/>
    </row>
    <row r="285" spans="1:1" x14ac:dyDescent="0.25">
      <c r="A285" s="35"/>
    </row>
    <row r="286" spans="1:1" x14ac:dyDescent="0.25">
      <c r="A286" s="35"/>
    </row>
    <row r="287" spans="1:1" x14ac:dyDescent="0.25">
      <c r="A287" s="35"/>
    </row>
    <row r="288" spans="1:1" x14ac:dyDescent="0.25">
      <c r="A288" s="35"/>
    </row>
    <row r="289" spans="1:1" x14ac:dyDescent="0.25">
      <c r="A289" s="35"/>
    </row>
    <row r="290" spans="1:1" x14ac:dyDescent="0.25">
      <c r="A290" s="35"/>
    </row>
    <row r="291" spans="1:1" x14ac:dyDescent="0.25">
      <c r="A291" s="35"/>
    </row>
    <row r="292" spans="1:1" x14ac:dyDescent="0.25">
      <c r="A292" s="35"/>
    </row>
    <row r="293" spans="1:1" x14ac:dyDescent="0.25">
      <c r="A293" s="35"/>
    </row>
    <row r="294" spans="1:1" x14ac:dyDescent="0.25">
      <c r="A294" s="35"/>
    </row>
    <row r="295" spans="1:1" x14ac:dyDescent="0.25">
      <c r="A295" s="35"/>
    </row>
    <row r="296" spans="1:1" x14ac:dyDescent="0.25">
      <c r="A296" s="35"/>
    </row>
    <row r="297" spans="1:1" x14ac:dyDescent="0.25">
      <c r="A297" s="35"/>
    </row>
    <row r="298" spans="1:1" x14ac:dyDescent="0.25">
      <c r="A298" s="35"/>
    </row>
    <row r="299" spans="1:1" x14ac:dyDescent="0.25">
      <c r="A299" s="35"/>
    </row>
    <row r="300" spans="1:1" x14ac:dyDescent="0.25">
      <c r="A300" s="35"/>
    </row>
    <row r="301" spans="1:1" x14ac:dyDescent="0.25">
      <c r="A301" s="35"/>
    </row>
    <row r="302" spans="1:1" x14ac:dyDescent="0.25">
      <c r="A302" s="35"/>
    </row>
    <row r="303" spans="1:1" x14ac:dyDescent="0.25">
      <c r="A303" s="35"/>
    </row>
    <row r="304" spans="1:1" x14ac:dyDescent="0.25">
      <c r="A304" s="35"/>
    </row>
    <row r="305" spans="1:1" x14ac:dyDescent="0.25">
      <c r="A305" s="35"/>
    </row>
    <row r="306" spans="1:1" x14ac:dyDescent="0.25">
      <c r="A306" s="35"/>
    </row>
    <row r="307" spans="1:1" x14ac:dyDescent="0.25">
      <c r="A307" s="35"/>
    </row>
    <row r="308" spans="1:1" x14ac:dyDescent="0.25">
      <c r="A308" s="35"/>
    </row>
    <row r="309" spans="1:1" x14ac:dyDescent="0.25">
      <c r="A309" s="35"/>
    </row>
    <row r="310" spans="1:1" x14ac:dyDescent="0.25">
      <c r="A310" s="35"/>
    </row>
    <row r="311" spans="1:1" x14ac:dyDescent="0.25">
      <c r="A311" s="35"/>
    </row>
    <row r="312" spans="1:1" x14ac:dyDescent="0.25">
      <c r="A312" s="35"/>
    </row>
    <row r="313" spans="1:1" x14ac:dyDescent="0.25">
      <c r="A313" s="35"/>
    </row>
    <row r="314" spans="1:1" x14ac:dyDescent="0.25">
      <c r="A314" s="35"/>
    </row>
    <row r="315" spans="1:1" x14ac:dyDescent="0.25">
      <c r="A315" s="35"/>
    </row>
    <row r="316" spans="1:1" x14ac:dyDescent="0.25">
      <c r="A316" s="35"/>
    </row>
    <row r="317" spans="1:1" x14ac:dyDescent="0.25">
      <c r="A317" s="35"/>
    </row>
    <row r="318" spans="1:1" x14ac:dyDescent="0.25">
      <c r="A318" s="35"/>
    </row>
    <row r="319" spans="1:1" x14ac:dyDescent="0.25">
      <c r="A319" s="35"/>
    </row>
    <row r="320" spans="1:1" x14ac:dyDescent="0.25">
      <c r="A320" s="35"/>
    </row>
    <row r="321" spans="1:1" x14ac:dyDescent="0.25">
      <c r="A321" s="35"/>
    </row>
    <row r="322" spans="1:1" x14ac:dyDescent="0.25">
      <c r="A322" s="35"/>
    </row>
    <row r="323" spans="1:1" x14ac:dyDescent="0.25">
      <c r="A323" s="35"/>
    </row>
    <row r="324" spans="1:1" x14ac:dyDescent="0.25">
      <c r="A324" s="35"/>
    </row>
    <row r="325" spans="1:1" x14ac:dyDescent="0.25">
      <c r="A325" s="35"/>
    </row>
    <row r="326" spans="1:1" x14ac:dyDescent="0.25">
      <c r="A326" s="35"/>
    </row>
    <row r="327" spans="1:1" x14ac:dyDescent="0.25">
      <c r="A327" s="35"/>
    </row>
    <row r="328" spans="1:1" x14ac:dyDescent="0.25">
      <c r="A328" s="35"/>
    </row>
    <row r="329" spans="1:1" x14ac:dyDescent="0.25">
      <c r="A329" s="35"/>
    </row>
    <row r="330" spans="1:1" x14ac:dyDescent="0.25">
      <c r="A330" s="35"/>
    </row>
    <row r="331" spans="1:1" x14ac:dyDescent="0.25">
      <c r="A331" s="35"/>
    </row>
    <row r="332" spans="1:1" x14ac:dyDescent="0.25">
      <c r="A332" s="35"/>
    </row>
    <row r="333" spans="1:1" x14ac:dyDescent="0.25">
      <c r="A333" s="35"/>
    </row>
    <row r="334" spans="1:1" x14ac:dyDescent="0.25">
      <c r="A334" s="35"/>
    </row>
    <row r="335" spans="1:1" x14ac:dyDescent="0.25">
      <c r="A335" s="35"/>
    </row>
    <row r="336" spans="1:1" x14ac:dyDescent="0.25">
      <c r="A336" s="35"/>
    </row>
    <row r="337" spans="1:1" x14ac:dyDescent="0.25">
      <c r="A337" s="35"/>
    </row>
    <row r="338" spans="1:1" x14ac:dyDescent="0.25">
      <c r="A338" s="35"/>
    </row>
    <row r="339" spans="1:1" x14ac:dyDescent="0.25">
      <c r="A339" s="35"/>
    </row>
    <row r="340" spans="1:1" x14ac:dyDescent="0.25">
      <c r="A340" s="35"/>
    </row>
    <row r="341" spans="1:1" x14ac:dyDescent="0.25">
      <c r="A341" s="35"/>
    </row>
    <row r="342" spans="1:1" x14ac:dyDescent="0.25">
      <c r="A342" s="35"/>
    </row>
    <row r="343" spans="1:1" x14ac:dyDescent="0.25">
      <c r="A343" s="35"/>
    </row>
    <row r="344" spans="1:1" x14ac:dyDescent="0.25">
      <c r="A344" s="35"/>
    </row>
    <row r="345" spans="1:1" x14ac:dyDescent="0.25">
      <c r="A345" s="35"/>
    </row>
    <row r="346" spans="1:1" x14ac:dyDescent="0.25">
      <c r="A346" s="35"/>
    </row>
    <row r="347" spans="1:1" x14ac:dyDescent="0.25">
      <c r="A347" s="35"/>
    </row>
    <row r="348" spans="1:1" x14ac:dyDescent="0.25">
      <c r="A348" s="35"/>
    </row>
    <row r="349" spans="1:1" x14ac:dyDescent="0.25">
      <c r="A349" s="35"/>
    </row>
    <row r="350" spans="1:1" x14ac:dyDescent="0.25">
      <c r="A350" s="35"/>
    </row>
    <row r="351" spans="1:1" x14ac:dyDescent="0.25">
      <c r="A351" s="35"/>
    </row>
    <row r="352" spans="1:1" x14ac:dyDescent="0.25">
      <c r="A352" s="35"/>
    </row>
    <row r="353" spans="1:1" x14ac:dyDescent="0.25">
      <c r="A353" s="35"/>
    </row>
    <row r="354" spans="1:1" x14ac:dyDescent="0.25">
      <c r="A354" s="35"/>
    </row>
    <row r="355" spans="1:1" x14ac:dyDescent="0.25">
      <c r="A355" s="35"/>
    </row>
    <row r="356" spans="1:1" x14ac:dyDescent="0.25">
      <c r="A356" s="35"/>
    </row>
    <row r="357" spans="1:1" x14ac:dyDescent="0.25">
      <c r="A357" s="35"/>
    </row>
    <row r="358" spans="1:1" x14ac:dyDescent="0.25">
      <c r="A358" s="35"/>
    </row>
    <row r="359" spans="1:1" x14ac:dyDescent="0.25">
      <c r="A359" s="35"/>
    </row>
    <row r="360" spans="1:1" x14ac:dyDescent="0.25">
      <c r="A360" s="35"/>
    </row>
    <row r="361" spans="1:1" x14ac:dyDescent="0.25">
      <c r="A361" s="35"/>
    </row>
    <row r="362" spans="1:1" x14ac:dyDescent="0.25">
      <c r="A362" s="35"/>
    </row>
    <row r="363" spans="1:1" x14ac:dyDescent="0.25">
      <c r="A363" s="35"/>
    </row>
    <row r="364" spans="1:1" x14ac:dyDescent="0.25">
      <c r="A364" s="35"/>
    </row>
    <row r="365" spans="1:1" x14ac:dyDescent="0.25">
      <c r="A365" s="35"/>
    </row>
    <row r="366" spans="1:1" x14ac:dyDescent="0.25">
      <c r="A366" s="35"/>
    </row>
    <row r="367" spans="1:1" x14ac:dyDescent="0.25">
      <c r="A367" s="35"/>
    </row>
    <row r="368" spans="1:1" x14ac:dyDescent="0.25">
      <c r="A368" s="35"/>
    </row>
    <row r="369" spans="1:1" x14ac:dyDescent="0.25">
      <c r="A369" s="35"/>
    </row>
    <row r="370" spans="1:1" x14ac:dyDescent="0.25">
      <c r="A370" s="35"/>
    </row>
    <row r="371" spans="1:1" x14ac:dyDescent="0.25">
      <c r="A371" s="35"/>
    </row>
    <row r="372" spans="1:1" x14ac:dyDescent="0.25">
      <c r="A372" s="35"/>
    </row>
    <row r="373" spans="1:1" x14ac:dyDescent="0.25">
      <c r="A373" s="35"/>
    </row>
    <row r="374" spans="1:1" x14ac:dyDescent="0.25">
      <c r="A374" s="35"/>
    </row>
    <row r="375" spans="1:1" x14ac:dyDescent="0.25">
      <c r="A375" s="35"/>
    </row>
    <row r="376" spans="1:1" x14ac:dyDescent="0.25">
      <c r="A376" s="35"/>
    </row>
    <row r="377" spans="1:1" x14ac:dyDescent="0.25">
      <c r="A377" s="35"/>
    </row>
    <row r="378" spans="1:1" x14ac:dyDescent="0.25">
      <c r="A378" s="35"/>
    </row>
    <row r="379" spans="1:1" x14ac:dyDescent="0.25">
      <c r="A379" s="35"/>
    </row>
    <row r="380" spans="1:1" x14ac:dyDescent="0.25">
      <c r="A380" s="35"/>
    </row>
    <row r="381" spans="1:1" x14ac:dyDescent="0.25">
      <c r="A381" s="35"/>
    </row>
    <row r="382" spans="1:1" x14ac:dyDescent="0.25">
      <c r="A382" s="35"/>
    </row>
    <row r="383" spans="1:1" x14ac:dyDescent="0.25">
      <c r="A383" s="35"/>
    </row>
    <row r="384" spans="1:1" x14ac:dyDescent="0.25">
      <c r="A384" s="35"/>
    </row>
    <row r="385" spans="1:1" x14ac:dyDescent="0.25">
      <c r="A385" s="35"/>
    </row>
    <row r="386" spans="1:1" x14ac:dyDescent="0.25">
      <c r="A386" s="35"/>
    </row>
    <row r="387" spans="1:1" x14ac:dyDescent="0.25">
      <c r="A387" s="35"/>
    </row>
    <row r="388" spans="1:1" x14ac:dyDescent="0.25">
      <c r="A388" s="35"/>
    </row>
    <row r="389" spans="1:1" x14ac:dyDescent="0.25">
      <c r="A389" s="35"/>
    </row>
    <row r="390" spans="1:1" x14ac:dyDescent="0.25">
      <c r="A390" s="35"/>
    </row>
    <row r="391" spans="1:1" x14ac:dyDescent="0.25">
      <c r="A391" s="35"/>
    </row>
    <row r="392" spans="1:1" x14ac:dyDescent="0.25">
      <c r="A392" s="35"/>
    </row>
    <row r="393" spans="1:1" x14ac:dyDescent="0.25">
      <c r="A393" s="35"/>
    </row>
    <row r="394" spans="1:1" x14ac:dyDescent="0.25">
      <c r="A394" s="35"/>
    </row>
    <row r="395" spans="1:1" x14ac:dyDescent="0.25">
      <c r="A395" s="35"/>
    </row>
    <row r="396" spans="1:1" x14ac:dyDescent="0.25">
      <c r="A396" s="35"/>
    </row>
    <row r="397" spans="1:1" x14ac:dyDescent="0.25">
      <c r="A397" s="35"/>
    </row>
    <row r="398" spans="1:1" x14ac:dyDescent="0.25">
      <c r="A398" s="35"/>
    </row>
    <row r="399" spans="1:1" x14ac:dyDescent="0.25">
      <c r="A399" s="35"/>
    </row>
    <row r="400" spans="1:1" x14ac:dyDescent="0.25">
      <c r="A400" s="35"/>
    </row>
    <row r="401" spans="1:1" x14ac:dyDescent="0.25">
      <c r="A401" s="35"/>
    </row>
    <row r="402" spans="1:1" x14ac:dyDescent="0.25">
      <c r="A402" s="35"/>
    </row>
    <row r="403" spans="1:1" x14ac:dyDescent="0.25">
      <c r="A403" s="35"/>
    </row>
    <row r="404" spans="1:1" x14ac:dyDescent="0.25">
      <c r="A404" s="35"/>
    </row>
    <row r="405" spans="1:1" x14ac:dyDescent="0.25">
      <c r="A405" s="35"/>
    </row>
    <row r="406" spans="1:1" x14ac:dyDescent="0.25">
      <c r="A406" s="35"/>
    </row>
    <row r="407" spans="1:1" x14ac:dyDescent="0.25">
      <c r="A407" s="35"/>
    </row>
    <row r="408" spans="1:1" x14ac:dyDescent="0.25">
      <c r="A408" s="35"/>
    </row>
    <row r="409" spans="1:1" x14ac:dyDescent="0.25">
      <c r="A409" s="35"/>
    </row>
    <row r="410" spans="1:1" x14ac:dyDescent="0.25">
      <c r="A410" s="35"/>
    </row>
    <row r="411" spans="1:1" x14ac:dyDescent="0.25">
      <c r="A411" s="35"/>
    </row>
    <row r="412" spans="1:1" x14ac:dyDescent="0.25">
      <c r="A412" s="35"/>
    </row>
    <row r="413" spans="1:1" x14ac:dyDescent="0.25">
      <c r="A413" s="35"/>
    </row>
    <row r="414" spans="1:1" x14ac:dyDescent="0.25">
      <c r="A414" s="35"/>
    </row>
    <row r="415" spans="1:1" x14ac:dyDescent="0.25">
      <c r="A415" s="35"/>
    </row>
    <row r="416" spans="1:1" x14ac:dyDescent="0.25">
      <c r="A416" s="35"/>
    </row>
    <row r="417" spans="1:1" x14ac:dyDescent="0.25">
      <c r="A417" s="35"/>
    </row>
    <row r="418" spans="1:1" x14ac:dyDescent="0.25">
      <c r="A418" s="35"/>
    </row>
    <row r="419" spans="1:1" x14ac:dyDescent="0.25">
      <c r="A419" s="35"/>
    </row>
    <row r="420" spans="1:1" x14ac:dyDescent="0.25">
      <c r="A420" s="35"/>
    </row>
    <row r="421" spans="1:1" x14ac:dyDescent="0.25">
      <c r="A421" s="35"/>
    </row>
    <row r="422" spans="1:1" x14ac:dyDescent="0.25">
      <c r="A422" s="35"/>
    </row>
    <row r="423" spans="1:1" x14ac:dyDescent="0.25">
      <c r="A423" s="35"/>
    </row>
    <row r="424" spans="1:1" x14ac:dyDescent="0.25">
      <c r="A424" s="35"/>
    </row>
    <row r="425" spans="1:1" x14ac:dyDescent="0.25">
      <c r="A425" s="35"/>
    </row>
    <row r="426" spans="1:1" x14ac:dyDescent="0.25">
      <c r="A426" s="35"/>
    </row>
    <row r="427" spans="1:1" x14ac:dyDescent="0.25">
      <c r="A427" s="35"/>
    </row>
    <row r="428" spans="1:1" x14ac:dyDescent="0.25">
      <c r="A428" s="35"/>
    </row>
    <row r="429" spans="1:1" x14ac:dyDescent="0.25">
      <c r="A429" s="35"/>
    </row>
    <row r="430" spans="1:1" x14ac:dyDescent="0.25">
      <c r="A430" s="35"/>
    </row>
    <row r="431" spans="1:1" x14ac:dyDescent="0.25">
      <c r="A431" s="35"/>
    </row>
    <row r="432" spans="1:1" x14ac:dyDescent="0.25">
      <c r="A432" s="35"/>
    </row>
    <row r="433" spans="1:1" x14ac:dyDescent="0.25">
      <c r="A433" s="35"/>
    </row>
    <row r="434" spans="1:1" x14ac:dyDescent="0.25">
      <c r="A434" s="35"/>
    </row>
    <row r="435" spans="1:1" x14ac:dyDescent="0.25">
      <c r="A435" s="35"/>
    </row>
    <row r="436" spans="1:1" x14ac:dyDescent="0.25">
      <c r="A436" s="35"/>
    </row>
    <row r="437" spans="1:1" x14ac:dyDescent="0.25">
      <c r="A437" s="35"/>
    </row>
    <row r="438" spans="1:1" x14ac:dyDescent="0.25">
      <c r="A438" s="35"/>
    </row>
    <row r="439" spans="1:1" x14ac:dyDescent="0.25">
      <c r="A439" s="35"/>
    </row>
    <row r="440" spans="1:1" x14ac:dyDescent="0.25">
      <c r="A440" s="35"/>
    </row>
    <row r="441" spans="1:1" x14ac:dyDescent="0.25">
      <c r="A441" s="35"/>
    </row>
    <row r="442" spans="1:1" x14ac:dyDescent="0.25">
      <c r="A442" s="35"/>
    </row>
    <row r="443" spans="1:1" x14ac:dyDescent="0.25">
      <c r="A443" s="35"/>
    </row>
    <row r="444" spans="1:1" x14ac:dyDescent="0.25">
      <c r="A444" s="35"/>
    </row>
    <row r="445" spans="1:1" x14ac:dyDescent="0.25">
      <c r="A445" s="35"/>
    </row>
    <row r="446" spans="1:1" x14ac:dyDescent="0.25">
      <c r="A446" s="35"/>
    </row>
    <row r="447" spans="1:1" x14ac:dyDescent="0.25">
      <c r="A447" s="35"/>
    </row>
    <row r="448" spans="1:1" x14ac:dyDescent="0.25">
      <c r="A448" s="35"/>
    </row>
    <row r="449" spans="1:1" x14ac:dyDescent="0.25">
      <c r="A449" s="35"/>
    </row>
    <row r="450" spans="1:1" x14ac:dyDescent="0.25">
      <c r="A450" s="35"/>
    </row>
    <row r="451" spans="1:1" x14ac:dyDescent="0.25">
      <c r="A451" s="35"/>
    </row>
    <row r="452" spans="1:1" x14ac:dyDescent="0.25">
      <c r="A452" s="35"/>
    </row>
    <row r="453" spans="1:1" x14ac:dyDescent="0.25">
      <c r="A453" s="35"/>
    </row>
    <row r="454" spans="1:1" x14ac:dyDescent="0.25">
      <c r="A454" s="35"/>
    </row>
    <row r="455" spans="1:1" x14ac:dyDescent="0.25">
      <c r="A455" s="35"/>
    </row>
    <row r="456" spans="1:1" x14ac:dyDescent="0.25">
      <c r="A456" s="35"/>
    </row>
    <row r="457" spans="1:1" x14ac:dyDescent="0.25">
      <c r="A457" s="35"/>
    </row>
    <row r="458" spans="1:1" x14ac:dyDescent="0.25">
      <c r="A458" s="35"/>
    </row>
    <row r="459" spans="1:1" x14ac:dyDescent="0.25">
      <c r="A459" s="35"/>
    </row>
    <row r="460" spans="1:1" x14ac:dyDescent="0.25">
      <c r="A460" s="35"/>
    </row>
    <row r="461" spans="1:1" x14ac:dyDescent="0.25">
      <c r="A461" s="35"/>
    </row>
    <row r="462" spans="1:1" x14ac:dyDescent="0.25">
      <c r="A462" s="35"/>
    </row>
    <row r="463" spans="1:1" x14ac:dyDescent="0.25">
      <c r="A463" s="35"/>
    </row>
    <row r="464" spans="1:1" x14ac:dyDescent="0.25">
      <c r="A464" s="35"/>
    </row>
    <row r="465" spans="1:1" x14ac:dyDescent="0.25">
      <c r="A465" s="35"/>
    </row>
    <row r="466" spans="1:1" x14ac:dyDescent="0.25">
      <c r="A466" s="35"/>
    </row>
    <row r="467" spans="1:1" x14ac:dyDescent="0.25">
      <c r="A467" s="35"/>
    </row>
    <row r="468" spans="1:1" x14ac:dyDescent="0.25">
      <c r="A468" s="35"/>
    </row>
    <row r="469" spans="1:1" x14ac:dyDescent="0.25">
      <c r="A469" s="35"/>
    </row>
    <row r="470" spans="1:1" x14ac:dyDescent="0.25">
      <c r="A470" s="35"/>
    </row>
    <row r="471" spans="1:1" x14ac:dyDescent="0.25">
      <c r="A471" s="35"/>
    </row>
    <row r="472" spans="1:1" x14ac:dyDescent="0.25">
      <c r="A472" s="35"/>
    </row>
    <row r="473" spans="1:1" x14ac:dyDescent="0.25">
      <c r="A473" s="35"/>
    </row>
    <row r="474" spans="1:1" x14ac:dyDescent="0.25">
      <c r="A474" s="35"/>
    </row>
    <row r="475" spans="1:1" x14ac:dyDescent="0.25">
      <c r="A475" s="35"/>
    </row>
    <row r="476" spans="1:1" x14ac:dyDescent="0.25">
      <c r="A476" s="35"/>
    </row>
    <row r="477" spans="1:1" x14ac:dyDescent="0.25">
      <c r="A477" s="35"/>
    </row>
    <row r="478" spans="1:1" x14ac:dyDescent="0.25">
      <c r="A478" s="35"/>
    </row>
    <row r="479" spans="1:1" x14ac:dyDescent="0.25">
      <c r="A479" s="35"/>
    </row>
    <row r="480" spans="1:1" x14ac:dyDescent="0.25">
      <c r="A480" s="35"/>
    </row>
    <row r="481" spans="1:1" x14ac:dyDescent="0.25">
      <c r="A481" s="35"/>
    </row>
    <row r="482" spans="1:1" x14ac:dyDescent="0.25">
      <c r="A482" s="35"/>
    </row>
    <row r="483" spans="1:1" x14ac:dyDescent="0.25">
      <c r="A483" s="35"/>
    </row>
    <row r="484" spans="1:1" x14ac:dyDescent="0.25">
      <c r="A484" s="35"/>
    </row>
    <row r="485" spans="1:1" x14ac:dyDescent="0.25">
      <c r="A485" s="35"/>
    </row>
    <row r="486" spans="1:1" x14ac:dyDescent="0.25">
      <c r="A486" s="35"/>
    </row>
    <row r="487" spans="1:1" x14ac:dyDescent="0.25">
      <c r="A487" s="35"/>
    </row>
    <row r="488" spans="1:1" x14ac:dyDescent="0.25">
      <c r="A488" s="35"/>
    </row>
    <row r="489" spans="1:1" x14ac:dyDescent="0.25">
      <c r="A489" s="35"/>
    </row>
    <row r="490" spans="1:1" x14ac:dyDescent="0.25">
      <c r="A490" s="35"/>
    </row>
    <row r="491" spans="1:1" x14ac:dyDescent="0.25">
      <c r="A491" s="35"/>
    </row>
    <row r="492" spans="1:1" x14ac:dyDescent="0.25">
      <c r="A492" s="35"/>
    </row>
    <row r="493" spans="1:1" x14ac:dyDescent="0.25">
      <c r="A493" s="35"/>
    </row>
    <row r="494" spans="1:1" x14ac:dyDescent="0.25">
      <c r="A494" s="35"/>
    </row>
    <row r="495" spans="1:1" x14ac:dyDescent="0.25">
      <c r="A495" s="35"/>
    </row>
    <row r="496" spans="1:1" x14ac:dyDescent="0.25">
      <c r="A496" s="35"/>
    </row>
    <row r="497" spans="1:1" x14ac:dyDescent="0.25">
      <c r="A497" s="35"/>
    </row>
    <row r="498" spans="1:1" x14ac:dyDescent="0.25">
      <c r="A498" s="35"/>
    </row>
    <row r="499" spans="1:1" x14ac:dyDescent="0.25">
      <c r="A499" s="35"/>
    </row>
    <row r="500" spans="1:1" x14ac:dyDescent="0.25">
      <c r="A500" s="35"/>
    </row>
    <row r="501" spans="1:1" x14ac:dyDescent="0.25">
      <c r="A501" s="35"/>
    </row>
    <row r="502" spans="1:1" x14ac:dyDescent="0.25">
      <c r="A502" s="35"/>
    </row>
    <row r="503" spans="1:1" x14ac:dyDescent="0.25">
      <c r="A503" s="35"/>
    </row>
    <row r="504" spans="1:1" x14ac:dyDescent="0.25">
      <c r="A504" s="35"/>
    </row>
    <row r="505" spans="1:1" x14ac:dyDescent="0.25">
      <c r="A505" s="35"/>
    </row>
    <row r="506" spans="1:1" x14ac:dyDescent="0.25">
      <c r="A506" s="35"/>
    </row>
    <row r="507" spans="1:1" x14ac:dyDescent="0.25">
      <c r="A507" s="35"/>
    </row>
    <row r="508" spans="1:1" x14ac:dyDescent="0.25">
      <c r="A508" s="35"/>
    </row>
    <row r="509" spans="1:1" x14ac:dyDescent="0.25">
      <c r="A509" s="35"/>
    </row>
    <row r="510" spans="1:1" x14ac:dyDescent="0.25">
      <c r="A510" s="35"/>
    </row>
    <row r="511" spans="1:1" x14ac:dyDescent="0.25">
      <c r="A511" s="35"/>
    </row>
    <row r="512" spans="1:1" x14ac:dyDescent="0.25">
      <c r="A512" s="35"/>
    </row>
    <row r="513" spans="1:1" x14ac:dyDescent="0.25">
      <c r="A513" s="35"/>
    </row>
    <row r="514" spans="1:1" x14ac:dyDescent="0.25">
      <c r="A514" s="35"/>
    </row>
    <row r="515" spans="1:1" x14ac:dyDescent="0.25">
      <c r="A515" s="35"/>
    </row>
    <row r="516" spans="1:1" x14ac:dyDescent="0.25">
      <c r="A516" s="35"/>
    </row>
    <row r="517" spans="1:1" x14ac:dyDescent="0.25">
      <c r="A517" s="35"/>
    </row>
    <row r="518" spans="1:1" x14ac:dyDescent="0.25">
      <c r="A518" s="35"/>
    </row>
    <row r="519" spans="1:1" x14ac:dyDescent="0.25">
      <c r="A519" s="35"/>
    </row>
    <row r="520" spans="1:1" x14ac:dyDescent="0.25">
      <c r="A520" s="35"/>
    </row>
    <row r="521" spans="1:1" x14ac:dyDescent="0.25">
      <c r="A521" s="35"/>
    </row>
    <row r="522" spans="1:1" x14ac:dyDescent="0.25">
      <c r="A522" s="35"/>
    </row>
    <row r="523" spans="1:1" x14ac:dyDescent="0.25">
      <c r="A523" s="35"/>
    </row>
    <row r="524" spans="1:1" x14ac:dyDescent="0.25">
      <c r="A524" s="35"/>
    </row>
    <row r="525" spans="1:1" x14ac:dyDescent="0.25">
      <c r="A525" s="35"/>
    </row>
    <row r="526" spans="1:1" x14ac:dyDescent="0.25">
      <c r="A526" s="35"/>
    </row>
    <row r="527" spans="1:1" x14ac:dyDescent="0.25">
      <c r="A527" s="35"/>
    </row>
    <row r="528" spans="1:1" x14ac:dyDescent="0.25">
      <c r="A528" s="35"/>
    </row>
    <row r="529" spans="1:1" x14ac:dyDescent="0.25">
      <c r="A529" s="35"/>
    </row>
    <row r="530" spans="1:1" x14ac:dyDescent="0.25">
      <c r="A530" s="35"/>
    </row>
    <row r="531" spans="1:1" x14ac:dyDescent="0.25">
      <c r="A531" s="35"/>
    </row>
    <row r="532" spans="1:1" x14ac:dyDescent="0.25">
      <c r="A532" s="35"/>
    </row>
    <row r="533" spans="1:1" x14ac:dyDescent="0.25">
      <c r="A533" s="35"/>
    </row>
    <row r="534" spans="1:1" x14ac:dyDescent="0.25">
      <c r="A534" s="35"/>
    </row>
    <row r="535" spans="1:1" x14ac:dyDescent="0.25">
      <c r="A535" s="35"/>
    </row>
    <row r="536" spans="1:1" x14ac:dyDescent="0.25">
      <c r="A536" s="35"/>
    </row>
    <row r="537" spans="1:1" x14ac:dyDescent="0.25">
      <c r="A537" s="35"/>
    </row>
    <row r="538" spans="1:1" x14ac:dyDescent="0.25">
      <c r="A538" s="35"/>
    </row>
    <row r="539" spans="1:1" x14ac:dyDescent="0.25">
      <c r="A539" s="35"/>
    </row>
    <row r="540" spans="1:1" x14ac:dyDescent="0.25">
      <c r="A540" s="35"/>
    </row>
    <row r="541" spans="1:1" x14ac:dyDescent="0.25">
      <c r="A541" s="35"/>
    </row>
    <row r="542" spans="1:1" x14ac:dyDescent="0.25">
      <c r="A542" s="35"/>
    </row>
    <row r="543" spans="1:1" x14ac:dyDescent="0.25">
      <c r="A543" s="35"/>
    </row>
    <row r="544" spans="1:1" x14ac:dyDescent="0.25">
      <c r="A544" s="35"/>
    </row>
    <row r="545" spans="1:1" x14ac:dyDescent="0.25">
      <c r="A545" s="35"/>
    </row>
    <row r="546" spans="1:1" x14ac:dyDescent="0.25">
      <c r="A546" s="35"/>
    </row>
    <row r="547" spans="1:1" x14ac:dyDescent="0.25">
      <c r="A547" s="35"/>
    </row>
    <row r="548" spans="1:1" x14ac:dyDescent="0.25">
      <c r="A548" s="35"/>
    </row>
    <row r="549" spans="1:1" x14ac:dyDescent="0.25">
      <c r="A549" s="35"/>
    </row>
    <row r="550" spans="1:1" x14ac:dyDescent="0.25">
      <c r="A550" s="35"/>
    </row>
    <row r="551" spans="1:1" x14ac:dyDescent="0.25">
      <c r="A551" s="35"/>
    </row>
    <row r="552" spans="1:1" x14ac:dyDescent="0.25">
      <c r="A552" s="35"/>
    </row>
    <row r="553" spans="1:1" x14ac:dyDescent="0.25">
      <c r="A553" s="35"/>
    </row>
    <row r="554" spans="1:1" x14ac:dyDescent="0.25">
      <c r="A554" s="35"/>
    </row>
    <row r="555" spans="1:1" x14ac:dyDescent="0.25">
      <c r="A555" s="35"/>
    </row>
    <row r="556" spans="1:1" x14ac:dyDescent="0.25">
      <c r="A556" s="35"/>
    </row>
    <row r="557" spans="1:1" x14ac:dyDescent="0.25">
      <c r="A557" s="35"/>
    </row>
    <row r="558" spans="1:1" x14ac:dyDescent="0.25">
      <c r="A558" s="35"/>
    </row>
    <row r="559" spans="1:1" x14ac:dyDescent="0.25">
      <c r="A559" s="35"/>
    </row>
    <row r="560" spans="1:1" x14ac:dyDescent="0.25">
      <c r="A560" s="35"/>
    </row>
    <row r="561" spans="1:1" x14ac:dyDescent="0.25">
      <c r="A561" s="35"/>
    </row>
    <row r="562" spans="1:1" x14ac:dyDescent="0.25">
      <c r="A562" s="35"/>
    </row>
    <row r="563" spans="1:1" x14ac:dyDescent="0.25">
      <c r="A563" s="35"/>
    </row>
    <row r="564" spans="1:1" x14ac:dyDescent="0.25">
      <c r="A564" s="35"/>
    </row>
    <row r="565" spans="1:1" x14ac:dyDescent="0.25">
      <c r="A565" s="35"/>
    </row>
    <row r="566" spans="1:1" x14ac:dyDescent="0.25">
      <c r="A566" s="35"/>
    </row>
    <row r="567" spans="1:1" x14ac:dyDescent="0.25">
      <c r="A567" s="35"/>
    </row>
    <row r="568" spans="1:1" x14ac:dyDescent="0.25">
      <c r="A568" s="35"/>
    </row>
    <row r="569" spans="1:1" x14ac:dyDescent="0.25">
      <c r="A569" s="35"/>
    </row>
    <row r="570" spans="1:1" x14ac:dyDescent="0.25">
      <c r="A570" s="35"/>
    </row>
    <row r="571" spans="1:1" x14ac:dyDescent="0.25">
      <c r="A571" s="35"/>
    </row>
    <row r="572" spans="1:1" x14ac:dyDescent="0.25">
      <c r="A572" s="35"/>
    </row>
    <row r="573" spans="1:1" x14ac:dyDescent="0.25">
      <c r="A573" s="35"/>
    </row>
    <row r="574" spans="1:1" x14ac:dyDescent="0.25">
      <c r="A574" s="35"/>
    </row>
    <row r="575" spans="1:1" x14ac:dyDescent="0.25">
      <c r="A575" s="35"/>
    </row>
    <row r="576" spans="1:1" x14ac:dyDescent="0.25">
      <c r="A576" s="35"/>
    </row>
    <row r="577" spans="1:1" x14ac:dyDescent="0.25">
      <c r="A577" s="35"/>
    </row>
    <row r="578" spans="1:1" x14ac:dyDescent="0.25">
      <c r="A578" s="35"/>
    </row>
    <row r="579" spans="1:1" x14ac:dyDescent="0.25">
      <c r="A579" s="35"/>
    </row>
    <row r="580" spans="1:1" x14ac:dyDescent="0.25">
      <c r="A580" s="35"/>
    </row>
    <row r="581" spans="1:1" x14ac:dyDescent="0.25">
      <c r="A581" s="35"/>
    </row>
    <row r="582" spans="1:1" x14ac:dyDescent="0.25">
      <c r="A582" s="35"/>
    </row>
    <row r="583" spans="1:1" x14ac:dyDescent="0.25">
      <c r="A583" s="35"/>
    </row>
    <row r="584" spans="1:1" x14ac:dyDescent="0.25">
      <c r="A584" s="35"/>
    </row>
    <row r="585" spans="1:1" x14ac:dyDescent="0.25">
      <c r="A585" s="35"/>
    </row>
    <row r="586" spans="1:1" x14ac:dyDescent="0.25">
      <c r="A586" s="35"/>
    </row>
    <row r="587" spans="1:1" x14ac:dyDescent="0.25">
      <c r="A587" s="35"/>
    </row>
    <row r="588" spans="1:1" x14ac:dyDescent="0.25">
      <c r="A588" s="35"/>
    </row>
    <row r="589" spans="1:1" x14ac:dyDescent="0.25">
      <c r="A589" s="35"/>
    </row>
    <row r="590" spans="1:1" x14ac:dyDescent="0.25">
      <c r="A590" s="35"/>
    </row>
    <row r="591" spans="1:1" x14ac:dyDescent="0.25">
      <c r="A591" s="35"/>
    </row>
    <row r="592" spans="1:1" x14ac:dyDescent="0.25">
      <c r="A592" s="35"/>
    </row>
  </sheetData>
  <phoneticPr fontId="21" type="noConversion"/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90"/>
  <dimension ref="A1:L102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42578125" style="33" customWidth="1"/>
    <col min="2" max="2" width="8.85546875" style="33"/>
    <col min="3" max="3" width="22.42578125" style="33" customWidth="1"/>
    <col min="4" max="6" width="8.85546875" style="33"/>
    <col min="7" max="7" width="10.28515625" style="34" bestFit="1" customWidth="1"/>
    <col min="8" max="8" width="11" style="34" bestFit="1" customWidth="1"/>
    <col min="9" max="9" width="12" style="33" bestFit="1" customWidth="1"/>
    <col min="10" max="16384" width="8.85546875" style="33"/>
  </cols>
  <sheetData>
    <row r="1" spans="1:12" ht="25.5" x14ac:dyDescent="0.35">
      <c r="A1" s="33">
        <v>105</v>
      </c>
      <c r="B1" s="52" t="s">
        <v>44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12" x14ac:dyDescent="0.25">
      <c r="A3" s="33" t="s">
        <v>21</v>
      </c>
      <c r="B3" s="33" t="s">
        <v>38</v>
      </c>
      <c r="C3" s="33" t="s">
        <v>43</v>
      </c>
      <c r="D3" s="33" t="s">
        <v>3</v>
      </c>
      <c r="E3" s="33" t="s">
        <v>193</v>
      </c>
      <c r="F3" s="33" t="s">
        <v>24</v>
      </c>
      <c r="G3" s="34" t="s">
        <v>25</v>
      </c>
      <c r="H3" s="34" t="s">
        <v>6</v>
      </c>
      <c r="J3" s="33" t="s">
        <v>74</v>
      </c>
    </row>
    <row r="6" spans="1:12" x14ac:dyDescent="0.25">
      <c r="A6" s="35"/>
      <c r="I6" s="33" t="s">
        <v>197</v>
      </c>
    </row>
    <row r="7" spans="1:12" x14ac:dyDescent="0.25">
      <c r="A7" s="35"/>
    </row>
    <row r="8" spans="1:12" x14ac:dyDescent="0.25">
      <c r="A8" s="35"/>
    </row>
    <row r="9" spans="1:12" x14ac:dyDescent="0.25">
      <c r="A9" s="35"/>
    </row>
    <row r="10" spans="1:12" x14ac:dyDescent="0.25">
      <c r="A10" s="35"/>
    </row>
    <row r="11" spans="1:12" x14ac:dyDescent="0.25">
      <c r="A11" s="35"/>
      <c r="I11" s="33" t="s">
        <v>197</v>
      </c>
    </row>
    <row r="12" spans="1:12" x14ac:dyDescent="0.25">
      <c r="A12" s="35"/>
    </row>
    <row r="13" spans="1:12" x14ac:dyDescent="0.25">
      <c r="A13" s="35"/>
      <c r="I13" s="33" t="s">
        <v>197</v>
      </c>
      <c r="L13" s="33" t="s">
        <v>190</v>
      </c>
    </row>
    <row r="14" spans="1:12" x14ac:dyDescent="0.25">
      <c r="A14" s="35"/>
    </row>
    <row r="15" spans="1:12" x14ac:dyDescent="0.25">
      <c r="A15" s="35"/>
    </row>
    <row r="16" spans="1:12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  <c r="I20" s="33" t="s">
        <v>197</v>
      </c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  <c r="F24" s="34"/>
    </row>
    <row r="25" spans="1:9" x14ac:dyDescent="0.25">
      <c r="A25" s="35"/>
      <c r="F25" s="34"/>
    </row>
    <row r="26" spans="1:9" x14ac:dyDescent="0.25">
      <c r="A26" s="35"/>
      <c r="F26" s="34"/>
    </row>
    <row r="27" spans="1:9" ht="20.25" customHeight="1" x14ac:dyDescent="0.25">
      <c r="A27" s="35"/>
      <c r="F27" s="34"/>
    </row>
    <row r="102" ht="15.75" customHeight="1" x14ac:dyDescent="0.25"/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1"/>
  <dimension ref="A1:G33"/>
  <sheetViews>
    <sheetView workbookViewId="0">
      <selection activeCell="A33" sqref="A33"/>
    </sheetView>
  </sheetViews>
  <sheetFormatPr defaultRowHeight="15" x14ac:dyDescent="0.25"/>
  <cols>
    <col min="1" max="1" width="10.28515625" customWidth="1"/>
    <col min="3" max="3" width="19.140625" customWidth="1"/>
    <col min="8" max="8" width="12" bestFit="1" customWidth="1"/>
  </cols>
  <sheetData>
    <row r="1" spans="1:7" ht="26.25" x14ac:dyDescent="0.4">
      <c r="A1" s="15" t="s">
        <v>134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1</v>
      </c>
      <c r="C3" t="s">
        <v>7</v>
      </c>
      <c r="D3" t="s">
        <v>18</v>
      </c>
      <c r="E3" t="s">
        <v>11</v>
      </c>
      <c r="F3" t="s">
        <v>9</v>
      </c>
      <c r="G3" t="s">
        <v>6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45"/>
  <dimension ref="A1:I318"/>
  <sheetViews>
    <sheetView zoomScale="180" zoomScaleNormal="180" workbookViewId="0">
      <selection activeCell="A3" sqref="A3"/>
    </sheetView>
  </sheetViews>
  <sheetFormatPr defaultColWidth="8.85546875" defaultRowHeight="15" x14ac:dyDescent="0.25"/>
  <cols>
    <col min="1" max="1" width="12.85546875" style="33" customWidth="1"/>
    <col min="2" max="2" width="8.42578125" style="33" customWidth="1"/>
    <col min="3" max="3" width="23.7109375" style="33" customWidth="1"/>
    <col min="4" max="4" width="6.7109375" style="33" bestFit="1" customWidth="1"/>
    <col min="5" max="5" width="7" style="33" bestFit="1" customWidth="1"/>
    <col min="6" max="6" width="9" style="33" bestFit="1" customWidth="1"/>
    <col min="7" max="7" width="11.28515625" style="34" bestFit="1" customWidth="1"/>
    <col min="8" max="8" width="11.7109375" style="34" bestFit="1" customWidth="1"/>
    <col min="9" max="9" width="12.28515625" style="33" bestFit="1" customWidth="1"/>
    <col min="10" max="10" width="8.28515625" style="33" customWidth="1"/>
    <col min="11" max="11" width="8.85546875" style="33"/>
    <col min="12" max="12" width="9" style="33" customWidth="1"/>
    <col min="13" max="16384" width="8.85546875" style="33"/>
  </cols>
  <sheetData>
    <row r="1" spans="1:9" ht="25.5" x14ac:dyDescent="0.35">
      <c r="A1" s="52" t="s">
        <v>103</v>
      </c>
      <c r="D1" s="33">
        <v>165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2" spans="1:9" x14ac:dyDescent="0.25">
      <c r="A2" s="33" t="s">
        <v>0</v>
      </c>
      <c r="B2" s="33" t="s">
        <v>1</v>
      </c>
      <c r="C2" s="33" t="s">
        <v>7</v>
      </c>
      <c r="D2" s="33" t="s">
        <v>18</v>
      </c>
      <c r="E2" s="33" t="s">
        <v>196</v>
      </c>
      <c r="F2" s="33" t="s">
        <v>11</v>
      </c>
      <c r="G2" s="34" t="s">
        <v>9</v>
      </c>
      <c r="H2" s="34" t="s">
        <v>6</v>
      </c>
    </row>
    <row r="4" spans="1:9" x14ac:dyDescent="0.25">
      <c r="A4" s="35"/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  <c r="I10" s="33" t="s">
        <v>197</v>
      </c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9" x14ac:dyDescent="0.25">
      <c r="A17" s="35"/>
    </row>
    <row r="18" spans="1:9" x14ac:dyDescent="0.25">
      <c r="A18" s="35"/>
    </row>
    <row r="19" spans="1:9" x14ac:dyDescent="0.25">
      <c r="A19" s="35"/>
    </row>
    <row r="20" spans="1:9" x14ac:dyDescent="0.25">
      <c r="A20" s="35"/>
    </row>
    <row r="21" spans="1:9" x14ac:dyDescent="0.25">
      <c r="A21" s="35"/>
    </row>
    <row r="22" spans="1:9" x14ac:dyDescent="0.25">
      <c r="A22" s="35"/>
    </row>
    <row r="23" spans="1:9" x14ac:dyDescent="0.25">
      <c r="A23" s="35"/>
    </row>
    <row r="24" spans="1:9" x14ac:dyDescent="0.25">
      <c r="A24" s="35"/>
    </row>
    <row r="25" spans="1:9" ht="21" customHeight="1" x14ac:dyDescent="0.25">
      <c r="A25" s="35"/>
    </row>
    <row r="26" spans="1:9" x14ac:dyDescent="0.25">
      <c r="A26" s="35"/>
    </row>
    <row r="27" spans="1:9" x14ac:dyDescent="0.25">
      <c r="A27" s="35"/>
    </row>
    <row r="28" spans="1:9" x14ac:dyDescent="0.25">
      <c r="A28" s="35"/>
    </row>
    <row r="29" spans="1:9" x14ac:dyDescent="0.25">
      <c r="A29" s="35"/>
      <c r="I29" s="33" t="s">
        <v>197</v>
      </c>
    </row>
    <row r="30" spans="1:9" x14ac:dyDescent="0.25">
      <c r="A30" s="35"/>
    </row>
    <row r="31" spans="1:9" x14ac:dyDescent="0.25">
      <c r="A31" s="35"/>
    </row>
    <row r="32" spans="1:9" x14ac:dyDescent="0.25">
      <c r="A32" s="35"/>
    </row>
    <row r="33" spans="1:9" x14ac:dyDescent="0.25">
      <c r="A33" s="35"/>
    </row>
    <row r="34" spans="1:9" x14ac:dyDescent="0.25">
      <c r="A34" s="35"/>
    </row>
    <row r="35" spans="1:9" x14ac:dyDescent="0.25">
      <c r="A35" s="35"/>
    </row>
    <row r="36" spans="1:9" x14ac:dyDescent="0.25">
      <c r="A36" s="35"/>
    </row>
    <row r="37" spans="1:9" x14ac:dyDescent="0.25">
      <c r="A37" s="35"/>
    </row>
    <row r="38" spans="1:9" x14ac:dyDescent="0.25">
      <c r="A38" s="35"/>
    </row>
    <row r="39" spans="1:9" x14ac:dyDescent="0.25">
      <c r="A39" s="35"/>
    </row>
    <row r="40" spans="1:9" x14ac:dyDescent="0.25">
      <c r="A40" s="35"/>
      <c r="I40" s="33" t="s">
        <v>197</v>
      </c>
    </row>
    <row r="41" spans="1:9" x14ac:dyDescent="0.25">
      <c r="A41" s="35"/>
    </row>
    <row r="42" spans="1:9" x14ac:dyDescent="0.25">
      <c r="A42" s="35"/>
    </row>
    <row r="43" spans="1:9" x14ac:dyDescent="0.25">
      <c r="A43" s="35"/>
    </row>
    <row r="44" spans="1:9" x14ac:dyDescent="0.25">
      <c r="A44" s="35"/>
    </row>
    <row r="45" spans="1:9" x14ac:dyDescent="0.25">
      <c r="A45" s="35"/>
    </row>
    <row r="46" spans="1:9" x14ac:dyDescent="0.25">
      <c r="A46" s="35"/>
    </row>
    <row r="47" spans="1:9" x14ac:dyDescent="0.25">
      <c r="A47" s="35"/>
    </row>
    <row r="48" spans="1:9" x14ac:dyDescent="0.25">
      <c r="A48" s="35"/>
    </row>
    <row r="49" spans="1:6" x14ac:dyDescent="0.25">
      <c r="A49" s="35"/>
    </row>
    <row r="50" spans="1:6" x14ac:dyDescent="0.25">
      <c r="A50" s="35"/>
    </row>
    <row r="51" spans="1:6" x14ac:dyDescent="0.25">
      <c r="A51" s="35"/>
      <c r="F51" s="34"/>
    </row>
    <row r="52" spans="1:6" ht="19.5" customHeight="1" x14ac:dyDescent="0.25">
      <c r="A52" s="35"/>
      <c r="F52" s="34"/>
    </row>
    <row r="53" spans="1:6" ht="18" customHeight="1" x14ac:dyDescent="0.25">
      <c r="A53" s="35"/>
      <c r="F53" s="34"/>
    </row>
    <row r="54" spans="1:6" hidden="1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  <row r="302" spans="1:6" x14ac:dyDescent="0.25">
      <c r="A302" s="35"/>
      <c r="F302" s="34"/>
    </row>
    <row r="303" spans="1:6" x14ac:dyDescent="0.25">
      <c r="A303" s="35"/>
      <c r="F303" s="34"/>
    </row>
    <row r="304" spans="1:6" x14ac:dyDescent="0.25">
      <c r="A304" s="35"/>
      <c r="F304" s="34"/>
    </row>
    <row r="305" spans="1:6" x14ac:dyDescent="0.25">
      <c r="A305" s="35"/>
      <c r="F305" s="34"/>
    </row>
    <row r="306" spans="1:6" x14ac:dyDescent="0.25">
      <c r="A306" s="35"/>
      <c r="F306" s="34"/>
    </row>
    <row r="307" spans="1:6" x14ac:dyDescent="0.25">
      <c r="A307" s="35"/>
      <c r="F307" s="34"/>
    </row>
    <row r="308" spans="1:6" x14ac:dyDescent="0.25">
      <c r="A308" s="35"/>
      <c r="F308" s="34"/>
    </row>
    <row r="309" spans="1:6" x14ac:dyDescent="0.25">
      <c r="A309" s="35"/>
      <c r="F309" s="34"/>
    </row>
    <row r="310" spans="1:6" x14ac:dyDescent="0.25">
      <c r="A310" s="35"/>
      <c r="F310" s="34"/>
    </row>
    <row r="311" spans="1:6" x14ac:dyDescent="0.25">
      <c r="A311" s="35"/>
      <c r="F311" s="34"/>
    </row>
    <row r="312" spans="1:6" x14ac:dyDescent="0.25">
      <c r="A312" s="35"/>
      <c r="F312" s="34"/>
    </row>
    <row r="313" spans="1:6" x14ac:dyDescent="0.25">
      <c r="A313" s="35"/>
      <c r="F313" s="34"/>
    </row>
    <row r="314" spans="1:6" x14ac:dyDescent="0.25">
      <c r="A314" s="35"/>
      <c r="F314" s="34"/>
    </row>
    <row r="315" spans="1:6" x14ac:dyDescent="0.25">
      <c r="A315" s="35"/>
      <c r="F315" s="34"/>
    </row>
    <row r="316" spans="1:6" x14ac:dyDescent="0.25">
      <c r="A316" s="35"/>
      <c r="F316" s="34"/>
    </row>
    <row r="317" spans="1:6" x14ac:dyDescent="0.25">
      <c r="A317" s="35"/>
      <c r="F317" s="34"/>
    </row>
    <row r="318" spans="1:6" x14ac:dyDescent="0.25">
      <c r="A318" s="35"/>
      <c r="F318" s="34"/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28"/>
  <dimension ref="A1:I109"/>
  <sheetViews>
    <sheetView zoomScale="150" zoomScaleNormal="150" workbookViewId="0">
      <selection activeCell="B4" sqref="A4:B4"/>
    </sheetView>
  </sheetViews>
  <sheetFormatPr defaultRowHeight="15" x14ac:dyDescent="0.25"/>
  <cols>
    <col min="1" max="1" width="12.7109375" customWidth="1"/>
    <col min="3" max="3" width="18.140625" customWidth="1"/>
    <col min="6" max="6" width="11.7109375" customWidth="1"/>
    <col min="7" max="7" width="12.28515625" customWidth="1"/>
    <col min="8" max="8" width="11" customWidth="1"/>
    <col min="9" max="9" width="12" bestFit="1" customWidth="1"/>
    <col min="11" max="11" width="13" customWidth="1"/>
  </cols>
  <sheetData>
    <row r="1" spans="1:9" ht="26.25" x14ac:dyDescent="0.4">
      <c r="A1" s="15" t="s">
        <v>154</v>
      </c>
      <c r="B1" s="4" t="s">
        <v>151</v>
      </c>
      <c r="F1">
        <f>SUM(F4:F1048576)</f>
        <v>0</v>
      </c>
      <c r="G1">
        <f>SUM(G4:G1048576)</f>
        <v>0</v>
      </c>
      <c r="H1">
        <f>F1-G1</f>
        <v>0</v>
      </c>
      <c r="I1">
        <v>173</v>
      </c>
    </row>
    <row r="2" spans="1:9" ht="21" x14ac:dyDescent="0.35">
      <c r="A2" t="s">
        <v>0</v>
      </c>
      <c r="B2" t="s">
        <v>1</v>
      </c>
      <c r="C2" t="s">
        <v>14</v>
      </c>
      <c r="D2" t="s">
        <v>3</v>
      </c>
      <c r="E2" t="s">
        <v>193</v>
      </c>
      <c r="F2" t="s">
        <v>11</v>
      </c>
      <c r="G2" t="s">
        <v>9</v>
      </c>
      <c r="H2" t="s">
        <v>6</v>
      </c>
    </row>
    <row r="5" spans="1:9" x14ac:dyDescent="0.25">
      <c r="A5" s="5"/>
    </row>
    <row r="6" spans="1:9" x14ac:dyDescent="0.25">
      <c r="A6" s="5"/>
    </row>
    <row r="7" spans="1:9" x14ac:dyDescent="0.25">
      <c r="A7" s="5"/>
    </row>
    <row r="8" spans="1:9" x14ac:dyDescent="0.25">
      <c r="A8" s="5"/>
    </row>
    <row r="20" spans="4:4" x14ac:dyDescent="0.25">
      <c r="D20" s="33"/>
    </row>
    <row r="33" spans="1:1" x14ac:dyDescent="0.25">
      <c r="A33" s="33"/>
    </row>
    <row r="40" spans="1:1" x14ac:dyDescent="0.25">
      <c r="A40" s="5"/>
    </row>
    <row r="41" spans="1:1" x14ac:dyDescent="0.25">
      <c r="A41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2"/>
  <dimension ref="A1:H405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0.85546875" style="33" customWidth="1"/>
    <col min="2" max="2" width="9" style="33" bestFit="1" customWidth="1"/>
    <col min="3" max="3" width="30.28515625" style="33" bestFit="1" customWidth="1"/>
    <col min="4" max="5" width="9" style="33" bestFit="1" customWidth="1"/>
    <col min="6" max="6" width="9.28515625" style="33" bestFit="1" customWidth="1"/>
    <col min="7" max="7" width="11.5703125" style="34" bestFit="1" customWidth="1"/>
    <col min="8" max="8" width="11.28515625" style="34" bestFit="1" customWidth="1"/>
    <col min="9" max="9" width="10" style="33" bestFit="1" customWidth="1"/>
    <col min="10" max="16384" width="8.85546875" style="33"/>
  </cols>
  <sheetData>
    <row r="1" spans="1:8" ht="25.5" x14ac:dyDescent="0.35">
      <c r="A1" s="52" t="s">
        <v>113</v>
      </c>
      <c r="D1" s="33">
        <v>171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0</v>
      </c>
      <c r="B3" s="33" t="s">
        <v>85</v>
      </c>
      <c r="C3" s="33" t="s">
        <v>7</v>
      </c>
      <c r="D3" s="33" t="s">
        <v>18</v>
      </c>
      <c r="E3" s="33" t="s">
        <v>193</v>
      </c>
      <c r="F3" s="33" t="s">
        <v>24</v>
      </c>
      <c r="G3" s="34" t="s">
        <v>9</v>
      </c>
      <c r="H3" s="34" t="s">
        <v>6</v>
      </c>
    </row>
    <row r="5" spans="1:8" x14ac:dyDescent="0.25">
      <c r="A5" s="35"/>
    </row>
    <row r="6" spans="1:8" x14ac:dyDescent="0.25">
      <c r="A6" s="35"/>
    </row>
    <row r="7" spans="1:8" ht="16.899999999999999" customHeight="1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ht="13.9" customHeight="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6" x14ac:dyDescent="0.25">
      <c r="A97" s="35"/>
    </row>
    <row r="98" spans="1:6" x14ac:dyDescent="0.25">
      <c r="A98" s="35"/>
    </row>
    <row r="99" spans="1:6" x14ac:dyDescent="0.25">
      <c r="A99" s="35"/>
    </row>
    <row r="100" spans="1:6" x14ac:dyDescent="0.25">
      <c r="A100" s="35"/>
    </row>
    <row r="101" spans="1:6" x14ac:dyDescent="0.25">
      <c r="A101" s="35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ht="15" customHeight="1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  <row r="302" spans="1:6" x14ac:dyDescent="0.25">
      <c r="A302" s="35"/>
      <c r="F302" s="34"/>
    </row>
    <row r="303" spans="1:6" x14ac:dyDescent="0.25">
      <c r="A303" s="35"/>
      <c r="F303" s="34"/>
    </row>
    <row r="304" spans="1:6" x14ac:dyDescent="0.25">
      <c r="A304" s="35"/>
      <c r="F304" s="34"/>
    </row>
    <row r="305" spans="1:6" x14ac:dyDescent="0.25">
      <c r="A305" s="35"/>
      <c r="F305" s="34"/>
    </row>
    <row r="306" spans="1:6" x14ac:dyDescent="0.25">
      <c r="A306" s="35"/>
      <c r="F306" s="34"/>
    </row>
    <row r="307" spans="1:6" x14ac:dyDescent="0.25">
      <c r="A307" s="35"/>
      <c r="F307" s="34"/>
    </row>
    <row r="308" spans="1:6" x14ac:dyDescent="0.25">
      <c r="A308" s="35"/>
      <c r="F308" s="34"/>
    </row>
    <row r="309" spans="1:6" x14ac:dyDescent="0.25">
      <c r="A309" s="35"/>
      <c r="F309" s="34"/>
    </row>
    <row r="310" spans="1:6" x14ac:dyDescent="0.25">
      <c r="A310" s="35"/>
      <c r="F310" s="34"/>
    </row>
    <row r="311" spans="1:6" x14ac:dyDescent="0.25">
      <c r="A311" s="35"/>
      <c r="F311" s="34"/>
    </row>
    <row r="312" spans="1:6" x14ac:dyDescent="0.25">
      <c r="A312" s="35"/>
      <c r="F312" s="34"/>
    </row>
    <row r="313" spans="1:6" x14ac:dyDescent="0.25">
      <c r="A313" s="35"/>
      <c r="F313" s="34"/>
    </row>
    <row r="314" spans="1:6" x14ac:dyDescent="0.25">
      <c r="A314" s="35"/>
      <c r="F314" s="34"/>
    </row>
    <row r="315" spans="1:6" x14ac:dyDescent="0.25">
      <c r="A315" s="35"/>
      <c r="F315" s="34"/>
    </row>
    <row r="316" spans="1:6" x14ac:dyDescent="0.25">
      <c r="A316" s="35"/>
      <c r="F316" s="34"/>
    </row>
    <row r="317" spans="1:6" x14ac:dyDescent="0.25">
      <c r="A317" s="35"/>
      <c r="F317" s="34"/>
    </row>
    <row r="318" spans="1:6" x14ac:dyDescent="0.25">
      <c r="A318" s="35"/>
      <c r="F318" s="34"/>
    </row>
    <row r="319" spans="1:6" x14ac:dyDescent="0.25">
      <c r="A319" s="35"/>
      <c r="F319" s="34"/>
    </row>
    <row r="320" spans="1:6" x14ac:dyDescent="0.25">
      <c r="A320" s="35"/>
      <c r="F320" s="34"/>
    </row>
    <row r="321" spans="1:6" x14ac:dyDescent="0.25">
      <c r="A321" s="35"/>
      <c r="F321" s="34"/>
    </row>
    <row r="322" spans="1:6" x14ac:dyDescent="0.25">
      <c r="A322" s="35"/>
      <c r="F322" s="34"/>
    </row>
    <row r="323" spans="1:6" x14ac:dyDescent="0.25">
      <c r="A323" s="35"/>
      <c r="F323" s="34"/>
    </row>
    <row r="324" spans="1:6" x14ac:dyDescent="0.25">
      <c r="A324" s="35"/>
      <c r="F324" s="34"/>
    </row>
    <row r="325" spans="1:6" x14ac:dyDescent="0.25">
      <c r="A325" s="35"/>
      <c r="F325" s="34"/>
    </row>
    <row r="326" spans="1:6" x14ac:dyDescent="0.25">
      <c r="A326" s="35"/>
      <c r="F326" s="34"/>
    </row>
    <row r="327" spans="1:6" x14ac:dyDescent="0.25">
      <c r="A327" s="35"/>
      <c r="F327" s="34"/>
    </row>
    <row r="328" spans="1:6" x14ac:dyDescent="0.25">
      <c r="A328" s="35"/>
      <c r="F328" s="34"/>
    </row>
    <row r="329" spans="1:6" x14ac:dyDescent="0.25">
      <c r="A329" s="35"/>
      <c r="F329" s="34"/>
    </row>
    <row r="330" spans="1:6" x14ac:dyDescent="0.25">
      <c r="A330" s="35"/>
      <c r="F330" s="34"/>
    </row>
    <row r="331" spans="1:6" x14ac:dyDescent="0.25">
      <c r="A331" s="35"/>
      <c r="F331" s="34"/>
    </row>
    <row r="332" spans="1:6" x14ac:dyDescent="0.25">
      <c r="A332" s="35"/>
      <c r="F332" s="34"/>
    </row>
    <row r="333" spans="1:6" x14ac:dyDescent="0.25">
      <c r="A333" s="35"/>
      <c r="F333" s="34"/>
    </row>
    <row r="334" spans="1:6" x14ac:dyDescent="0.25">
      <c r="A334" s="35"/>
      <c r="F334" s="34"/>
    </row>
    <row r="335" spans="1:6" x14ac:dyDescent="0.25">
      <c r="A335" s="35"/>
      <c r="F335" s="34"/>
    </row>
    <row r="336" spans="1:6" x14ac:dyDescent="0.25">
      <c r="A336" s="35"/>
      <c r="F336" s="34"/>
    </row>
    <row r="337" spans="1:6" x14ac:dyDescent="0.25">
      <c r="A337" s="35"/>
      <c r="F337" s="34"/>
    </row>
    <row r="338" spans="1:6" x14ac:dyDescent="0.25">
      <c r="A338" s="35"/>
      <c r="F338" s="34"/>
    </row>
    <row r="339" spans="1:6" x14ac:dyDescent="0.25">
      <c r="A339" s="35"/>
      <c r="F339" s="34"/>
    </row>
    <row r="340" spans="1:6" x14ac:dyDescent="0.25">
      <c r="A340" s="35"/>
      <c r="F340" s="34"/>
    </row>
    <row r="341" spans="1:6" x14ac:dyDescent="0.25">
      <c r="A341" s="35"/>
      <c r="F341" s="34"/>
    </row>
    <row r="342" spans="1:6" x14ac:dyDescent="0.25">
      <c r="A342" s="35"/>
      <c r="F342" s="34"/>
    </row>
    <row r="343" spans="1:6" x14ac:dyDescent="0.25">
      <c r="A343" s="35"/>
      <c r="F343" s="34"/>
    </row>
    <row r="344" spans="1:6" x14ac:dyDescent="0.25">
      <c r="A344" s="35"/>
      <c r="F344" s="34"/>
    </row>
    <row r="345" spans="1:6" x14ac:dyDescent="0.25">
      <c r="A345" s="35"/>
      <c r="F345" s="34"/>
    </row>
    <row r="346" spans="1:6" x14ac:dyDescent="0.25">
      <c r="A346" s="35"/>
      <c r="F346" s="34"/>
    </row>
    <row r="347" spans="1:6" x14ac:dyDescent="0.25">
      <c r="A347" s="35"/>
      <c r="F347" s="34"/>
    </row>
    <row r="348" spans="1:6" x14ac:dyDescent="0.25">
      <c r="A348" s="35"/>
      <c r="F348" s="34"/>
    </row>
    <row r="349" spans="1:6" x14ac:dyDescent="0.25">
      <c r="A349" s="35"/>
      <c r="F349" s="34"/>
    </row>
    <row r="350" spans="1:6" x14ac:dyDescent="0.25">
      <c r="A350" s="35"/>
      <c r="F350" s="34"/>
    </row>
    <row r="351" spans="1:6" x14ac:dyDescent="0.25">
      <c r="A351" s="35"/>
      <c r="F351" s="34"/>
    </row>
    <row r="352" spans="1:6" x14ac:dyDescent="0.25">
      <c r="A352" s="35"/>
      <c r="F352" s="34"/>
    </row>
    <row r="353" spans="1:6" x14ac:dyDescent="0.25">
      <c r="A353" s="35"/>
      <c r="F353" s="34"/>
    </row>
    <row r="354" spans="1:6" x14ac:dyDescent="0.25">
      <c r="A354" s="35"/>
      <c r="F354" s="34"/>
    </row>
    <row r="355" spans="1:6" x14ac:dyDescent="0.25">
      <c r="A355" s="35"/>
      <c r="F355" s="34"/>
    </row>
    <row r="356" spans="1:6" x14ac:dyDescent="0.25">
      <c r="A356" s="35"/>
      <c r="F356" s="34"/>
    </row>
    <row r="357" spans="1:6" x14ac:dyDescent="0.25">
      <c r="A357" s="35"/>
      <c r="F357" s="34"/>
    </row>
    <row r="358" spans="1:6" x14ac:dyDescent="0.25">
      <c r="A358" s="35"/>
      <c r="F358" s="34"/>
    </row>
    <row r="359" spans="1:6" x14ac:dyDescent="0.25">
      <c r="A359" s="35"/>
      <c r="F359" s="34"/>
    </row>
    <row r="360" spans="1:6" x14ac:dyDescent="0.25">
      <c r="A360" s="35"/>
      <c r="F360" s="34"/>
    </row>
    <row r="361" spans="1:6" x14ac:dyDescent="0.25">
      <c r="A361" s="35"/>
      <c r="F361" s="34"/>
    </row>
    <row r="362" spans="1:6" x14ac:dyDescent="0.25">
      <c r="A362" s="35"/>
      <c r="F362" s="34"/>
    </row>
    <row r="363" spans="1:6" x14ac:dyDescent="0.25">
      <c r="A363" s="35"/>
      <c r="F363" s="34"/>
    </row>
    <row r="364" spans="1:6" x14ac:dyDescent="0.25">
      <c r="A364" s="35"/>
      <c r="F364" s="34"/>
    </row>
    <row r="365" spans="1:6" x14ac:dyDescent="0.25">
      <c r="A365" s="35"/>
      <c r="F365" s="34"/>
    </row>
    <row r="366" spans="1:6" x14ac:dyDescent="0.25">
      <c r="A366" s="35"/>
      <c r="F366" s="34"/>
    </row>
    <row r="367" spans="1:6" x14ac:dyDescent="0.25">
      <c r="A367" s="35"/>
      <c r="F367" s="34"/>
    </row>
    <row r="368" spans="1:6" x14ac:dyDescent="0.25">
      <c r="A368" s="35"/>
      <c r="F368" s="34"/>
    </row>
    <row r="369" spans="1:6" x14ac:dyDescent="0.25">
      <c r="A369" s="35"/>
      <c r="F369" s="34"/>
    </row>
    <row r="370" spans="1:6" x14ac:dyDescent="0.25">
      <c r="A370" s="35"/>
      <c r="F370" s="34"/>
    </row>
    <row r="371" spans="1:6" x14ac:dyDescent="0.25">
      <c r="A371" s="35"/>
      <c r="F371" s="34"/>
    </row>
    <row r="372" spans="1:6" x14ac:dyDescent="0.25">
      <c r="A372" s="35"/>
      <c r="F372" s="34"/>
    </row>
    <row r="373" spans="1:6" x14ac:dyDescent="0.25">
      <c r="A373" s="35"/>
      <c r="F373" s="34"/>
    </row>
    <row r="374" spans="1:6" x14ac:dyDescent="0.25">
      <c r="A374" s="35"/>
      <c r="F374" s="34"/>
    </row>
    <row r="375" spans="1:6" x14ac:dyDescent="0.25">
      <c r="A375" s="35"/>
      <c r="F375" s="34"/>
    </row>
    <row r="376" spans="1:6" x14ac:dyDescent="0.25">
      <c r="A376" s="35"/>
      <c r="F376" s="34"/>
    </row>
    <row r="377" spans="1:6" x14ac:dyDescent="0.25">
      <c r="A377" s="35"/>
      <c r="F377" s="34"/>
    </row>
    <row r="378" spans="1:6" x14ac:dyDescent="0.25">
      <c r="A378" s="35"/>
      <c r="F378" s="34"/>
    </row>
    <row r="379" spans="1:6" x14ac:dyDescent="0.25">
      <c r="A379" s="35"/>
      <c r="F379" s="34"/>
    </row>
    <row r="380" spans="1:6" x14ac:dyDescent="0.25">
      <c r="A380" s="35"/>
      <c r="F380" s="34"/>
    </row>
    <row r="381" spans="1:6" x14ac:dyDescent="0.25">
      <c r="A381" s="35"/>
      <c r="F381" s="34"/>
    </row>
    <row r="382" spans="1:6" x14ac:dyDescent="0.25">
      <c r="A382" s="35"/>
      <c r="F382" s="34"/>
    </row>
    <row r="383" spans="1:6" x14ac:dyDescent="0.25">
      <c r="A383" s="35"/>
      <c r="F383" s="34"/>
    </row>
    <row r="384" spans="1:6" x14ac:dyDescent="0.25">
      <c r="A384" s="35"/>
      <c r="F384" s="34"/>
    </row>
    <row r="385" spans="1:6" x14ac:dyDescent="0.25">
      <c r="A385" s="35"/>
      <c r="F385" s="34"/>
    </row>
    <row r="386" spans="1:6" x14ac:dyDescent="0.25">
      <c r="A386" s="35"/>
      <c r="F386" s="34"/>
    </row>
    <row r="387" spans="1:6" x14ac:dyDescent="0.25">
      <c r="A387" s="35"/>
      <c r="F387" s="34"/>
    </row>
    <row r="388" spans="1:6" x14ac:dyDescent="0.25">
      <c r="A388" s="35"/>
      <c r="F388" s="34"/>
    </row>
    <row r="389" spans="1:6" x14ac:dyDescent="0.25">
      <c r="A389" s="35"/>
      <c r="F389" s="34"/>
    </row>
    <row r="390" spans="1:6" x14ac:dyDescent="0.25">
      <c r="A390" s="35"/>
      <c r="F390" s="34"/>
    </row>
    <row r="391" spans="1:6" x14ac:dyDescent="0.25">
      <c r="A391" s="35"/>
      <c r="F391" s="34"/>
    </row>
    <row r="392" spans="1:6" x14ac:dyDescent="0.25">
      <c r="A392" s="35"/>
      <c r="F392" s="34"/>
    </row>
    <row r="393" spans="1:6" x14ac:dyDescent="0.25">
      <c r="A393" s="35"/>
      <c r="F393" s="34"/>
    </row>
    <row r="394" spans="1:6" x14ac:dyDescent="0.25">
      <c r="A394" s="35"/>
      <c r="F394" s="34"/>
    </row>
    <row r="395" spans="1:6" x14ac:dyDescent="0.25">
      <c r="A395" s="35"/>
      <c r="F395" s="34"/>
    </row>
    <row r="396" spans="1:6" x14ac:dyDescent="0.25">
      <c r="A396" s="35"/>
      <c r="F396" s="34"/>
    </row>
    <row r="397" spans="1:6" x14ac:dyDescent="0.25">
      <c r="A397" s="35"/>
      <c r="F397" s="34"/>
    </row>
    <row r="398" spans="1:6" x14ac:dyDescent="0.25">
      <c r="A398" s="35"/>
      <c r="F398" s="34"/>
    </row>
    <row r="399" spans="1:6" x14ac:dyDescent="0.25">
      <c r="A399" s="35"/>
      <c r="F399" s="34"/>
    </row>
    <row r="400" spans="1:6" x14ac:dyDescent="0.25">
      <c r="A400" s="35"/>
      <c r="F400" s="34"/>
    </row>
    <row r="401" spans="1:6" x14ac:dyDescent="0.25">
      <c r="A401" s="35"/>
      <c r="F401" s="34"/>
    </row>
    <row r="402" spans="1:6" x14ac:dyDescent="0.25">
      <c r="A402" s="35"/>
      <c r="F402" s="34"/>
    </row>
    <row r="403" spans="1:6" x14ac:dyDescent="0.25">
      <c r="A403" s="35"/>
      <c r="F403" s="34"/>
    </row>
    <row r="404" spans="1:6" x14ac:dyDescent="0.25">
      <c r="A404" s="35"/>
      <c r="F404" s="34"/>
    </row>
    <row r="405" spans="1:6" x14ac:dyDescent="0.25">
      <c r="A405" s="35"/>
      <c r="F405" s="34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67"/>
  <dimension ref="A1:L79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" style="33" customWidth="1"/>
    <col min="2" max="2" width="8.85546875" style="33"/>
    <col min="3" max="3" width="23.42578125" style="33" customWidth="1"/>
    <col min="4" max="8" width="8.85546875" style="33"/>
    <col min="9" max="9" width="12" style="33" bestFit="1" customWidth="1"/>
    <col min="10" max="16384" width="8.85546875" style="33"/>
  </cols>
  <sheetData>
    <row r="1" spans="1:12" ht="25.5" x14ac:dyDescent="0.35">
      <c r="A1" s="52" t="s">
        <v>33</v>
      </c>
      <c r="C1" s="33" t="s">
        <v>133</v>
      </c>
      <c r="F1" s="33">
        <f>SUM(F4:F1048576)</f>
        <v>0</v>
      </c>
      <c r="G1" s="33">
        <f>SUM(G4:G1048576)</f>
        <v>0</v>
      </c>
      <c r="H1" s="33">
        <f>F1-G1</f>
        <v>0</v>
      </c>
      <c r="I1" s="33">
        <v>175</v>
      </c>
      <c r="L1" s="33" t="s">
        <v>104</v>
      </c>
    </row>
    <row r="3" spans="1:12" x14ac:dyDescent="0.25">
      <c r="A3" s="33" t="s">
        <v>21</v>
      </c>
      <c r="B3" s="33" t="s">
        <v>32</v>
      </c>
      <c r="C3" s="33" t="s">
        <v>26</v>
      </c>
      <c r="D3" s="33" t="s">
        <v>3</v>
      </c>
      <c r="F3" s="33" t="s">
        <v>24</v>
      </c>
      <c r="G3" s="33" t="s">
        <v>25</v>
      </c>
      <c r="H3" s="33" t="s">
        <v>6</v>
      </c>
      <c r="J3" s="33" t="s">
        <v>74</v>
      </c>
    </row>
    <row r="5" spans="1:12" x14ac:dyDescent="0.25">
      <c r="A5" s="35"/>
    </row>
    <row r="6" spans="1:12" x14ac:dyDescent="0.25">
      <c r="A6" s="35"/>
    </row>
    <row r="7" spans="1:12" x14ac:dyDescent="0.25">
      <c r="A7" s="35"/>
    </row>
    <row r="8" spans="1:12" x14ac:dyDescent="0.25">
      <c r="A8" s="35"/>
    </row>
    <row r="9" spans="1:12" x14ac:dyDescent="0.25">
      <c r="A9" s="35"/>
    </row>
    <row r="10" spans="1:12" x14ac:dyDescent="0.25">
      <c r="A10" s="35"/>
    </row>
    <row r="11" spans="1:12" x14ac:dyDescent="0.25">
      <c r="A11" s="35"/>
    </row>
    <row r="12" spans="1:12" x14ac:dyDescent="0.25">
      <c r="A12" s="35"/>
    </row>
    <row r="13" spans="1:12" x14ac:dyDescent="0.25">
      <c r="A13" s="35"/>
    </row>
    <row r="14" spans="1:12" x14ac:dyDescent="0.25">
      <c r="A14" s="35"/>
    </row>
    <row r="15" spans="1:12" x14ac:dyDescent="0.25">
      <c r="A15" s="35"/>
    </row>
    <row r="16" spans="1:12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79" spans="12:12" ht="25.5" x14ac:dyDescent="0.35">
      <c r="L79" s="52"/>
    </row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49"/>
  <dimension ref="A1:J153"/>
  <sheetViews>
    <sheetView zoomScale="150" zoomScaleNormal="150" workbookViewId="0">
      <selection activeCell="B4" sqref="B4"/>
    </sheetView>
  </sheetViews>
  <sheetFormatPr defaultColWidth="8.85546875" defaultRowHeight="15" x14ac:dyDescent="0.25"/>
  <cols>
    <col min="1" max="1" width="10" style="33" customWidth="1"/>
    <col min="2" max="2" width="8.85546875" style="33"/>
    <col min="3" max="3" width="22.28515625" style="33" customWidth="1"/>
    <col min="4" max="5" width="10.7109375" style="33" customWidth="1"/>
    <col min="6" max="6" width="12.85546875" style="33" customWidth="1"/>
    <col min="7" max="7" width="13.85546875" style="34" customWidth="1"/>
    <col min="8" max="8" width="12.5703125" style="33" customWidth="1"/>
    <col min="9" max="9" width="12" style="33" bestFit="1" customWidth="1"/>
    <col min="10" max="16384" width="8.85546875" style="33"/>
  </cols>
  <sheetData>
    <row r="1" spans="1:10" ht="25.5" x14ac:dyDescent="0.35">
      <c r="A1" s="52" t="s">
        <v>62</v>
      </c>
      <c r="F1" s="33">
        <f>SUM(F4:F1048576)</f>
        <v>0</v>
      </c>
      <c r="G1" s="34">
        <f>SUM(G4:G1048576)</f>
        <v>0</v>
      </c>
      <c r="H1" s="33">
        <f>F1-G1</f>
        <v>0</v>
      </c>
      <c r="I1" s="33">
        <v>101</v>
      </c>
    </row>
    <row r="2" spans="1:10" x14ac:dyDescent="0.25">
      <c r="A2" s="33" t="s">
        <v>0</v>
      </c>
      <c r="B2" s="33" t="s">
        <v>1</v>
      </c>
      <c r="C2" s="33" t="s">
        <v>17</v>
      </c>
      <c r="D2" s="33" t="s">
        <v>18</v>
      </c>
      <c r="E2" s="33" t="s">
        <v>193</v>
      </c>
      <c r="F2" s="33" t="s">
        <v>11</v>
      </c>
      <c r="G2" s="34" t="s">
        <v>9</v>
      </c>
      <c r="H2" s="33" t="s">
        <v>6</v>
      </c>
      <c r="J2" s="33" t="s">
        <v>77</v>
      </c>
    </row>
    <row r="5" spans="1:10" x14ac:dyDescent="0.25">
      <c r="A5" s="35"/>
    </row>
    <row r="6" spans="1:10" x14ac:dyDescent="0.25">
      <c r="A6" s="35"/>
    </row>
    <row r="7" spans="1:10" x14ac:dyDescent="0.25">
      <c r="A7" s="35"/>
    </row>
    <row r="8" spans="1:10" x14ac:dyDescent="0.25">
      <c r="A8" s="35"/>
    </row>
    <row r="9" spans="1:10" x14ac:dyDescent="0.25">
      <c r="A9" s="35"/>
    </row>
    <row r="10" spans="1:10" x14ac:dyDescent="0.25">
      <c r="A10" s="35"/>
    </row>
    <row r="11" spans="1:10" x14ac:dyDescent="0.25">
      <c r="A11" s="35"/>
    </row>
    <row r="12" spans="1:10" x14ac:dyDescent="0.25">
      <c r="A12" s="35"/>
    </row>
    <row r="13" spans="1:10" x14ac:dyDescent="0.25">
      <c r="A13" s="35"/>
    </row>
    <row r="14" spans="1:10" x14ac:dyDescent="0.25">
      <c r="A14" s="35"/>
    </row>
    <row r="15" spans="1:10" x14ac:dyDescent="0.25">
      <c r="A15" s="35"/>
    </row>
    <row r="16" spans="1:10" x14ac:dyDescent="0.25">
      <c r="A16" s="35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</row>
    <row r="23" spans="1:6" x14ac:dyDescent="0.25">
      <c r="A23" s="35"/>
      <c r="F23" s="34"/>
    </row>
    <row r="24" spans="1:6" x14ac:dyDescent="0.25">
      <c r="A24" s="35"/>
    </row>
    <row r="25" spans="1:6" x14ac:dyDescent="0.25">
      <c r="A25" s="35"/>
      <c r="F25" s="34"/>
    </row>
    <row r="26" spans="1:6" x14ac:dyDescent="0.25">
      <c r="A26" s="35"/>
    </row>
    <row r="27" spans="1:6" x14ac:dyDescent="0.25">
      <c r="A27" s="35"/>
    </row>
    <row r="28" spans="1:6" x14ac:dyDescent="0.25">
      <c r="A28" s="35"/>
    </row>
    <row r="29" spans="1:6" x14ac:dyDescent="0.25">
      <c r="A29" s="35"/>
    </row>
    <row r="30" spans="1:6" x14ac:dyDescent="0.25">
      <c r="A30" s="35"/>
    </row>
    <row r="31" spans="1:6" x14ac:dyDescent="0.25">
      <c r="A31" s="35"/>
    </row>
    <row r="32" spans="1:6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8" x14ac:dyDescent="0.25">
      <c r="A49" s="35"/>
    </row>
    <row r="50" spans="1:8" x14ac:dyDescent="0.25">
      <c r="A50" s="35"/>
    </row>
    <row r="51" spans="1:8" x14ac:dyDescent="0.25">
      <c r="A51" s="35"/>
    </row>
    <row r="52" spans="1:8" x14ac:dyDescent="0.25">
      <c r="A52" s="35"/>
    </row>
    <row r="53" spans="1:8" s="40" customFormat="1" x14ac:dyDescent="0.25">
      <c r="A53" s="35"/>
      <c r="G53" s="78"/>
      <c r="H53" s="33"/>
    </row>
    <row r="54" spans="1:8" x14ac:dyDescent="0.25">
      <c r="A54" s="35"/>
    </row>
    <row r="55" spans="1:8" x14ac:dyDescent="0.25">
      <c r="A55" s="35"/>
    </row>
    <row r="56" spans="1:8" x14ac:dyDescent="0.25">
      <c r="A56" s="35"/>
    </row>
    <row r="57" spans="1:8" x14ac:dyDescent="0.25">
      <c r="A57" s="35"/>
    </row>
    <row r="58" spans="1:8" x14ac:dyDescent="0.25">
      <c r="A58" s="35"/>
    </row>
    <row r="59" spans="1:8" x14ac:dyDescent="0.25">
      <c r="A59" s="35"/>
    </row>
    <row r="60" spans="1:8" x14ac:dyDescent="0.25">
      <c r="A60" s="35"/>
    </row>
    <row r="61" spans="1:8" x14ac:dyDescent="0.25">
      <c r="A61" s="35"/>
    </row>
    <row r="62" spans="1:8" x14ac:dyDescent="0.25">
      <c r="A62" s="35"/>
    </row>
    <row r="63" spans="1:8" x14ac:dyDescent="0.25">
      <c r="A63" s="35"/>
    </row>
    <row r="64" spans="1:8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ht="15.75" customHeight="1" x14ac:dyDescent="0.25">
      <c r="A78" s="35"/>
    </row>
    <row r="79" spans="1:1" x14ac:dyDescent="0.25">
      <c r="A79" s="35"/>
    </row>
    <row r="80" spans="1: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1" x14ac:dyDescent="0.25">
      <c r="A129" s="35"/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  <row r="133" spans="1:1" x14ac:dyDescent="0.25">
      <c r="A133" s="35"/>
    </row>
    <row r="134" spans="1:1" x14ac:dyDescent="0.25">
      <c r="A134" s="35"/>
    </row>
    <row r="135" spans="1:1" x14ac:dyDescent="0.25">
      <c r="A135" s="35"/>
    </row>
    <row r="136" spans="1:1" x14ac:dyDescent="0.25">
      <c r="A136" s="35"/>
    </row>
    <row r="137" spans="1:1" x14ac:dyDescent="0.25">
      <c r="A137" s="35"/>
    </row>
    <row r="138" spans="1:1" x14ac:dyDescent="0.25">
      <c r="A138" s="35"/>
    </row>
    <row r="139" spans="1:1" x14ac:dyDescent="0.25">
      <c r="A139" s="35"/>
    </row>
    <row r="140" spans="1:1" x14ac:dyDescent="0.25">
      <c r="A140" s="35"/>
    </row>
    <row r="141" spans="1:1" x14ac:dyDescent="0.25">
      <c r="A141" s="35"/>
    </row>
    <row r="142" spans="1:1" x14ac:dyDescent="0.25">
      <c r="A142" s="35"/>
    </row>
    <row r="143" spans="1:1" x14ac:dyDescent="0.25">
      <c r="A143" s="35"/>
    </row>
    <row r="153" ht="16.5" customHeight="1" x14ac:dyDescent="0.25"/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58"/>
  <dimension ref="A1:H36"/>
  <sheetViews>
    <sheetView workbookViewId="0">
      <selection activeCell="A3" sqref="A3:I8"/>
    </sheetView>
  </sheetViews>
  <sheetFormatPr defaultRowHeight="15" x14ac:dyDescent="0.25"/>
  <cols>
    <col min="1" max="1" width="10.140625" bestFit="1" customWidth="1"/>
    <col min="3" max="3" width="20.42578125" bestFit="1" customWidth="1"/>
    <col min="9" max="9" width="12" bestFit="1" customWidth="1"/>
  </cols>
  <sheetData>
    <row r="1" spans="1:8" ht="26.25" x14ac:dyDescent="0.4">
      <c r="B1" s="15" t="s">
        <v>120</v>
      </c>
      <c r="F1">
        <f>SUM(F4:F1048576)</f>
        <v>0</v>
      </c>
      <c r="G1">
        <f>SUM(G4:G1048576)</f>
        <v>0</v>
      </c>
      <c r="H1">
        <f>F1-G1</f>
        <v>0</v>
      </c>
    </row>
    <row r="2" spans="1:8" x14ac:dyDescent="0.25">
      <c r="A2" t="s">
        <v>21</v>
      </c>
      <c r="B2" t="s">
        <v>22</v>
      </c>
      <c r="C2" t="s">
        <v>23</v>
      </c>
      <c r="D2" t="s">
        <v>3</v>
      </c>
      <c r="E2" t="s">
        <v>193</v>
      </c>
      <c r="F2" t="s">
        <v>24</v>
      </c>
      <c r="G2" t="s">
        <v>25</v>
      </c>
      <c r="H2" t="s">
        <v>6</v>
      </c>
    </row>
    <row r="4" spans="1:8" x14ac:dyDescent="0.25">
      <c r="A4" s="5"/>
    </row>
    <row r="5" spans="1:8" x14ac:dyDescent="0.25">
      <c r="A5" s="5"/>
    </row>
    <row r="6" spans="1:8" x14ac:dyDescent="0.25">
      <c r="A6" s="5"/>
    </row>
    <row r="20" spans="4:4" x14ac:dyDescent="0.25">
      <c r="D20" s="33"/>
    </row>
    <row r="28" spans="4:4" ht="15.75" customHeight="1" x14ac:dyDescent="0.25"/>
    <row r="29" spans="4:4" hidden="1" x14ac:dyDescent="0.25"/>
    <row r="30" spans="4:4" hidden="1" x14ac:dyDescent="0.25"/>
    <row r="31" spans="4:4" hidden="1" x14ac:dyDescent="0.25"/>
    <row r="32" spans="4:4" hidden="1" x14ac:dyDescent="0.25"/>
    <row r="33" spans="1:1" hidden="1" x14ac:dyDescent="0.25">
      <c r="A33" s="33"/>
    </row>
    <row r="34" spans="1:1" hidden="1" x14ac:dyDescent="0.25"/>
    <row r="35" spans="1:1" hidden="1" x14ac:dyDescent="0.25"/>
    <row r="36" spans="1:1" hidden="1" x14ac:dyDescent="0.25"/>
  </sheetData>
  <pageMargins left="0.7" right="0.7" top="0.75" bottom="0.75" header="0.3" footer="0.3"/>
  <pageSetup orientation="portrait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3"/>
  <dimension ref="A1:H61"/>
  <sheetViews>
    <sheetView zoomScale="170" zoomScaleNormal="170" workbookViewId="0">
      <selection activeCell="A4" sqref="A4"/>
    </sheetView>
  </sheetViews>
  <sheetFormatPr defaultColWidth="8.85546875" defaultRowHeight="15" x14ac:dyDescent="0.25"/>
  <cols>
    <col min="1" max="1" width="11" style="33" customWidth="1"/>
    <col min="2" max="2" width="8.85546875" style="33"/>
    <col min="3" max="3" width="28.5703125" style="33" bestFit="1" customWidth="1"/>
    <col min="4" max="4" width="8.85546875" style="33"/>
    <col min="5" max="5" width="9.7109375" style="33" bestFit="1" customWidth="1"/>
    <col min="6" max="6" width="8.85546875" style="33"/>
    <col min="7" max="8" width="10.28515625" style="34" bestFit="1" customWidth="1"/>
    <col min="9" max="9" width="12" style="33" bestFit="1" customWidth="1"/>
    <col min="10" max="16384" width="8.85546875" style="33"/>
  </cols>
  <sheetData>
    <row r="1" spans="1:8" ht="25.5" x14ac:dyDescent="0.35">
      <c r="A1" s="52" t="s">
        <v>128</v>
      </c>
      <c r="D1" s="33">
        <v>187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3" spans="1:8" x14ac:dyDescent="0.25">
      <c r="A3" s="33" t="s">
        <v>0</v>
      </c>
      <c r="B3" s="33" t="s">
        <v>85</v>
      </c>
      <c r="C3" s="33" t="s">
        <v>7</v>
      </c>
      <c r="D3" s="33" t="s">
        <v>18</v>
      </c>
      <c r="E3" s="33" t="s">
        <v>195</v>
      </c>
      <c r="F3" s="33" t="s">
        <v>24</v>
      </c>
      <c r="G3" s="34" t="s">
        <v>9</v>
      </c>
      <c r="H3" s="34" t="s">
        <v>6</v>
      </c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</sheetData>
  <pageMargins left="0.7" right="0.7" top="0.75" bottom="0.75" header="0.3" footer="0.3"/>
  <pageSetup orientation="portrait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51"/>
  <dimension ref="A1:J41"/>
  <sheetViews>
    <sheetView zoomScale="170" zoomScaleNormal="170" workbookViewId="0">
      <selection activeCell="A7" sqref="A7"/>
    </sheetView>
  </sheetViews>
  <sheetFormatPr defaultColWidth="8.85546875" defaultRowHeight="15" x14ac:dyDescent="0.25"/>
  <cols>
    <col min="1" max="1" width="11.5703125" style="33" customWidth="1"/>
    <col min="2" max="2" width="8.85546875" style="33"/>
    <col min="3" max="3" width="22.42578125" style="33" bestFit="1" customWidth="1"/>
    <col min="4" max="5" width="8.85546875" style="33"/>
    <col min="6" max="6" width="9.140625" style="33" customWidth="1"/>
    <col min="7" max="7" width="9.140625" style="34" customWidth="1"/>
    <col min="8" max="8" width="10.28515625" style="34" bestFit="1" customWidth="1"/>
    <col min="9" max="9" width="9.140625" style="33" customWidth="1"/>
    <col min="10" max="16384" width="8.85546875" style="33"/>
  </cols>
  <sheetData>
    <row r="1" spans="1:8" ht="25.5" x14ac:dyDescent="0.35">
      <c r="A1" s="52" t="s">
        <v>188</v>
      </c>
      <c r="C1" s="33" t="s">
        <v>189</v>
      </c>
      <c r="F1" s="33">
        <f>SUM(F4:F1048576)</f>
        <v>0</v>
      </c>
      <c r="G1" s="34">
        <f>SUM(G4:G1048576)</f>
        <v>0</v>
      </c>
      <c r="H1" s="34">
        <f>F1-G1</f>
        <v>0</v>
      </c>
    </row>
    <row r="2" spans="1:8" x14ac:dyDescent="0.25">
      <c r="A2" s="33" t="s">
        <v>0</v>
      </c>
      <c r="B2" s="33" t="s">
        <v>1</v>
      </c>
      <c r="C2" s="33" t="s">
        <v>2</v>
      </c>
      <c r="D2" s="33" t="s">
        <v>18</v>
      </c>
      <c r="E2" s="33" t="s">
        <v>193</v>
      </c>
      <c r="F2" s="33" t="s">
        <v>11</v>
      </c>
      <c r="G2" s="34" t="s">
        <v>9</v>
      </c>
      <c r="H2" s="34" t="s">
        <v>6</v>
      </c>
    </row>
    <row r="5" spans="1:8" x14ac:dyDescent="0.25">
      <c r="A5" s="35"/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0" x14ac:dyDescent="0.25">
      <c r="A33" s="35"/>
    </row>
    <row r="34" spans="1:10" x14ac:dyDescent="0.25">
      <c r="A34" s="35"/>
    </row>
    <row r="35" spans="1:10" x14ac:dyDescent="0.25">
      <c r="A35" s="35"/>
    </row>
    <row r="41" spans="1:10" x14ac:dyDescent="0.25">
      <c r="J41" s="33" t="s">
        <v>31</v>
      </c>
    </row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4"/>
  <dimension ref="A1:H28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33" customWidth="1"/>
    <col min="2" max="2" width="8.85546875" style="33"/>
    <col min="3" max="3" width="26.28515625" style="33" bestFit="1" customWidth="1"/>
    <col min="4" max="8" width="8.85546875" style="33"/>
    <col min="9" max="9" width="10" style="33" bestFit="1" customWidth="1"/>
    <col min="10" max="16384" width="8.85546875" style="33"/>
  </cols>
  <sheetData>
    <row r="1" spans="1:8" ht="25.5" x14ac:dyDescent="0.35">
      <c r="A1" s="52" t="s">
        <v>106</v>
      </c>
      <c r="D1" s="33">
        <v>187</v>
      </c>
      <c r="F1" s="33">
        <f>SUM(F4:F1048576)</f>
        <v>0</v>
      </c>
      <c r="G1" s="33">
        <f>SUM(G4:G1048576)</f>
        <v>0</v>
      </c>
      <c r="H1" s="33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3" t="s">
        <v>25</v>
      </c>
      <c r="H3" s="33" t="s">
        <v>6</v>
      </c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</sheetData>
  <pageMargins left="0.7" right="0.7" top="0.75" bottom="0.75" header="0.3" footer="0.3"/>
  <pageSetup orientation="portrait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95"/>
  <dimension ref="A1:H403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1.7109375" style="33" customWidth="1"/>
    <col min="2" max="2" width="8.85546875" style="33"/>
    <col min="3" max="3" width="27.140625" style="33" bestFit="1" customWidth="1"/>
    <col min="4" max="5" width="8.85546875" style="33"/>
    <col min="6" max="6" width="12.28515625" style="33" customWidth="1"/>
    <col min="7" max="7" width="13.85546875" style="34" customWidth="1"/>
    <col min="8" max="8" width="13.140625" style="33" customWidth="1"/>
    <col min="9" max="9" width="3" style="33" bestFit="1" customWidth="1"/>
    <col min="10" max="16384" width="8.85546875" style="33"/>
  </cols>
  <sheetData>
    <row r="1" spans="1:8" ht="25.5" x14ac:dyDescent="0.35">
      <c r="A1" s="52" t="s">
        <v>170</v>
      </c>
      <c r="D1" s="33">
        <v>109</v>
      </c>
      <c r="F1" s="33">
        <f>SUM(F4:F1048576)</f>
        <v>0</v>
      </c>
      <c r="G1" s="34">
        <f>SUM(G4:G1048576)</f>
        <v>0</v>
      </c>
      <c r="H1" s="33">
        <f>F1-G1</f>
        <v>0</v>
      </c>
    </row>
    <row r="3" spans="1:8" x14ac:dyDescent="0.25">
      <c r="A3" s="33" t="s">
        <v>21</v>
      </c>
      <c r="B3" s="33" t="s">
        <v>38</v>
      </c>
      <c r="C3" s="33" t="s">
        <v>26</v>
      </c>
      <c r="D3" s="33" t="s">
        <v>3</v>
      </c>
      <c r="E3" s="33" t="s">
        <v>193</v>
      </c>
      <c r="F3" s="33" t="s">
        <v>24</v>
      </c>
      <c r="G3" s="34" t="s">
        <v>25</v>
      </c>
      <c r="H3" s="33" t="s">
        <v>6</v>
      </c>
    </row>
    <row r="5" spans="1:8" x14ac:dyDescent="0.25">
      <c r="A5" s="35"/>
    </row>
    <row r="6" spans="1:8" x14ac:dyDescent="0.25">
      <c r="A6" s="35"/>
    </row>
    <row r="7" spans="1:8" ht="18" customHeight="1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6" x14ac:dyDescent="0.25">
      <c r="A33" s="35"/>
    </row>
    <row r="34" spans="1:6" x14ac:dyDescent="0.25">
      <c r="A34" s="35"/>
    </row>
    <row r="35" spans="1:6" x14ac:dyDescent="0.25">
      <c r="A35" s="35"/>
    </row>
    <row r="36" spans="1:6" x14ac:dyDescent="0.25">
      <c r="A36" s="35"/>
    </row>
    <row r="37" spans="1:6" x14ac:dyDescent="0.25">
      <c r="A37" s="35"/>
    </row>
    <row r="38" spans="1:6" x14ac:dyDescent="0.25">
      <c r="A38" s="35"/>
    </row>
    <row r="39" spans="1:6" x14ac:dyDescent="0.25">
      <c r="A39" s="35"/>
    </row>
    <row r="40" spans="1:6" x14ac:dyDescent="0.25">
      <c r="A40" s="35"/>
    </row>
    <row r="41" spans="1:6" x14ac:dyDescent="0.25">
      <c r="A41" s="35"/>
    </row>
    <row r="42" spans="1:6" x14ac:dyDescent="0.25">
      <c r="A42" s="35"/>
    </row>
    <row r="43" spans="1:6" x14ac:dyDescent="0.25">
      <c r="A43" s="35"/>
    </row>
    <row r="44" spans="1:6" x14ac:dyDescent="0.25">
      <c r="A44" s="35"/>
    </row>
    <row r="45" spans="1:6" x14ac:dyDescent="0.25">
      <c r="A45" s="35"/>
    </row>
    <row r="46" spans="1:6" x14ac:dyDescent="0.25">
      <c r="A46" s="35"/>
      <c r="F46" s="34"/>
    </row>
    <row r="47" spans="1:6" x14ac:dyDescent="0.25">
      <c r="A47" s="35"/>
      <c r="F47" s="34"/>
    </row>
    <row r="48" spans="1:6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5" spans="1:6" x14ac:dyDescent="0.25">
      <c r="A55" s="35"/>
      <c r="F55" s="34"/>
    </row>
    <row r="56" spans="1:6" x14ac:dyDescent="0.25">
      <c r="A56" s="35"/>
      <c r="F56" s="34"/>
    </row>
    <row r="57" spans="1:6" x14ac:dyDescent="0.25">
      <c r="A57" s="35"/>
      <c r="F57" s="34"/>
    </row>
    <row r="58" spans="1:6" x14ac:dyDescent="0.25">
      <c r="A58" s="35"/>
      <c r="F58" s="34"/>
    </row>
    <row r="59" spans="1:6" x14ac:dyDescent="0.25">
      <c r="A59" s="35"/>
      <c r="F59" s="34"/>
    </row>
    <row r="60" spans="1:6" x14ac:dyDescent="0.25">
      <c r="A60" s="35"/>
      <c r="F60" s="34"/>
    </row>
    <row r="61" spans="1:6" x14ac:dyDescent="0.25">
      <c r="A61" s="35"/>
      <c r="F61" s="34"/>
    </row>
    <row r="62" spans="1:6" x14ac:dyDescent="0.25">
      <c r="A62" s="35"/>
      <c r="F62" s="34"/>
    </row>
    <row r="63" spans="1:6" x14ac:dyDescent="0.25">
      <c r="A63" s="35"/>
      <c r="F63" s="34"/>
    </row>
    <row r="64" spans="1:6" x14ac:dyDescent="0.25">
      <c r="A64" s="35"/>
      <c r="F64" s="34"/>
    </row>
    <row r="65" spans="1:6" x14ac:dyDescent="0.25">
      <c r="A65" s="35"/>
      <c r="F65" s="34"/>
    </row>
    <row r="66" spans="1:6" x14ac:dyDescent="0.25">
      <c r="A66" s="35"/>
      <c r="F66" s="34"/>
    </row>
    <row r="67" spans="1:6" x14ac:dyDescent="0.25">
      <c r="A67" s="35"/>
      <c r="F67" s="34"/>
    </row>
    <row r="68" spans="1:6" x14ac:dyDescent="0.25">
      <c r="A68" s="35"/>
      <c r="F68" s="34"/>
    </row>
    <row r="69" spans="1:6" x14ac:dyDescent="0.25">
      <c r="A69" s="35"/>
      <c r="F69" s="34"/>
    </row>
    <row r="70" spans="1:6" x14ac:dyDescent="0.25">
      <c r="A70" s="35"/>
      <c r="F70" s="34"/>
    </row>
    <row r="71" spans="1:6" x14ac:dyDescent="0.25">
      <c r="A71" s="35"/>
      <c r="F71" s="34"/>
    </row>
    <row r="72" spans="1:6" x14ac:dyDescent="0.25">
      <c r="A72" s="35"/>
      <c r="F72" s="34"/>
    </row>
    <row r="73" spans="1:6" x14ac:dyDescent="0.25">
      <c r="A73" s="35"/>
      <c r="F73" s="34"/>
    </row>
    <row r="74" spans="1:6" x14ac:dyDescent="0.25">
      <c r="A74" s="35"/>
      <c r="F74" s="34"/>
    </row>
    <row r="75" spans="1:6" x14ac:dyDescent="0.25">
      <c r="A75" s="35"/>
      <c r="F75" s="34"/>
    </row>
    <row r="76" spans="1:6" x14ac:dyDescent="0.25">
      <c r="A76" s="35"/>
      <c r="F76" s="34"/>
    </row>
    <row r="77" spans="1:6" x14ac:dyDescent="0.25">
      <c r="A77" s="35"/>
      <c r="F77" s="34"/>
    </row>
    <row r="78" spans="1:6" x14ac:dyDescent="0.25">
      <c r="A78" s="35"/>
      <c r="F78" s="34"/>
    </row>
    <row r="79" spans="1:6" x14ac:dyDescent="0.25">
      <c r="A79" s="35"/>
      <c r="F79" s="34"/>
    </row>
    <row r="80" spans="1:6" x14ac:dyDescent="0.25">
      <c r="A80" s="35"/>
      <c r="F80" s="34"/>
    </row>
    <row r="81" spans="1:6" x14ac:dyDescent="0.25">
      <c r="A81" s="35"/>
      <c r="F81" s="34"/>
    </row>
    <row r="82" spans="1:6" x14ac:dyDescent="0.25">
      <c r="A82" s="35"/>
      <c r="F82" s="34"/>
    </row>
    <row r="83" spans="1:6" x14ac:dyDescent="0.25">
      <c r="A83" s="35"/>
      <c r="F83" s="34"/>
    </row>
    <row r="84" spans="1:6" x14ac:dyDescent="0.25">
      <c r="A84" s="35"/>
      <c r="F84" s="34"/>
    </row>
    <row r="85" spans="1:6" x14ac:dyDescent="0.25">
      <c r="A85" s="35"/>
      <c r="F85" s="34"/>
    </row>
    <row r="86" spans="1:6" x14ac:dyDescent="0.25">
      <c r="A86" s="35"/>
      <c r="F86" s="34"/>
    </row>
    <row r="87" spans="1:6" x14ac:dyDescent="0.25">
      <c r="A87" s="35"/>
      <c r="F87" s="34"/>
    </row>
    <row r="88" spans="1:6" x14ac:dyDescent="0.25">
      <c r="A88" s="35"/>
      <c r="F88" s="34"/>
    </row>
    <row r="89" spans="1:6" x14ac:dyDescent="0.25">
      <c r="A89" s="35"/>
      <c r="F89" s="34"/>
    </row>
    <row r="90" spans="1:6" x14ac:dyDescent="0.25">
      <c r="A90" s="35"/>
      <c r="F90" s="34"/>
    </row>
    <row r="91" spans="1:6" x14ac:dyDescent="0.25">
      <c r="A91" s="35"/>
      <c r="F91" s="34"/>
    </row>
    <row r="92" spans="1:6" x14ac:dyDescent="0.25">
      <c r="A92" s="35"/>
      <c r="F92" s="34"/>
    </row>
    <row r="93" spans="1:6" x14ac:dyDescent="0.25">
      <c r="A93" s="35"/>
      <c r="F93" s="34"/>
    </row>
    <row r="94" spans="1:6" x14ac:dyDescent="0.25">
      <c r="A94" s="35"/>
      <c r="F94" s="34"/>
    </row>
    <row r="95" spans="1:6" x14ac:dyDescent="0.25">
      <c r="A95" s="35"/>
      <c r="F95" s="34"/>
    </row>
    <row r="96" spans="1:6" x14ac:dyDescent="0.25">
      <c r="A96" s="35"/>
      <c r="F96" s="34"/>
    </row>
    <row r="97" spans="1:6" x14ac:dyDescent="0.25">
      <c r="A97" s="35"/>
      <c r="F97" s="34"/>
    </row>
    <row r="98" spans="1:6" x14ac:dyDescent="0.25">
      <c r="A98" s="35"/>
      <c r="F98" s="34"/>
    </row>
    <row r="99" spans="1:6" x14ac:dyDescent="0.25">
      <c r="A99" s="35"/>
      <c r="F99" s="34"/>
    </row>
    <row r="100" spans="1:6" x14ac:dyDescent="0.25">
      <c r="A100" s="35"/>
      <c r="F100" s="34"/>
    </row>
    <row r="101" spans="1:6" x14ac:dyDescent="0.25">
      <c r="A101" s="35"/>
      <c r="F101" s="34"/>
    </row>
    <row r="102" spans="1:6" x14ac:dyDescent="0.25">
      <c r="A102" s="35"/>
      <c r="F102" s="34"/>
    </row>
    <row r="103" spans="1:6" x14ac:dyDescent="0.25">
      <c r="A103" s="35"/>
      <c r="F103" s="34"/>
    </row>
    <row r="104" spans="1:6" x14ac:dyDescent="0.25">
      <c r="A104" s="35"/>
      <c r="F104" s="34"/>
    </row>
    <row r="105" spans="1:6" x14ac:dyDescent="0.25">
      <c r="A105" s="35"/>
      <c r="F105" s="34"/>
    </row>
    <row r="106" spans="1:6" x14ac:dyDescent="0.25">
      <c r="A106" s="35"/>
      <c r="F106" s="34"/>
    </row>
    <row r="107" spans="1:6" x14ac:dyDescent="0.25">
      <c r="A107" s="35"/>
      <c r="F107" s="34"/>
    </row>
    <row r="108" spans="1:6" x14ac:dyDescent="0.25">
      <c r="A108" s="35"/>
      <c r="F108" s="34"/>
    </row>
    <row r="109" spans="1:6" x14ac:dyDescent="0.25">
      <c r="A109" s="35"/>
      <c r="F109" s="34"/>
    </row>
    <row r="110" spans="1:6" x14ac:dyDescent="0.25">
      <c r="A110" s="35"/>
      <c r="F110" s="34"/>
    </row>
    <row r="111" spans="1:6" x14ac:dyDescent="0.25">
      <c r="A111" s="35"/>
      <c r="F111" s="34"/>
    </row>
    <row r="112" spans="1:6" x14ac:dyDescent="0.25">
      <c r="A112" s="35"/>
      <c r="F112" s="34"/>
    </row>
    <row r="113" spans="1:6" x14ac:dyDescent="0.25">
      <c r="A113" s="35"/>
      <c r="F113" s="34"/>
    </row>
    <row r="114" spans="1:6" x14ac:dyDescent="0.25">
      <c r="A114" s="35"/>
      <c r="F114" s="34"/>
    </row>
    <row r="115" spans="1:6" x14ac:dyDescent="0.25">
      <c r="A115" s="35"/>
      <c r="F115" s="34"/>
    </row>
    <row r="116" spans="1:6" x14ac:dyDescent="0.25">
      <c r="A116" s="35"/>
      <c r="F116" s="34"/>
    </row>
    <row r="117" spans="1:6" x14ac:dyDescent="0.25">
      <c r="A117" s="35"/>
      <c r="F117" s="34"/>
    </row>
    <row r="118" spans="1:6" x14ac:dyDescent="0.25">
      <c r="A118" s="35"/>
      <c r="F118" s="34"/>
    </row>
    <row r="119" spans="1:6" x14ac:dyDescent="0.25">
      <c r="A119" s="35"/>
      <c r="F119" s="34"/>
    </row>
    <row r="120" spans="1:6" x14ac:dyDescent="0.25">
      <c r="A120" s="35"/>
      <c r="F120" s="34"/>
    </row>
    <row r="121" spans="1:6" x14ac:dyDescent="0.25">
      <c r="A121" s="35"/>
      <c r="F121" s="34"/>
    </row>
    <row r="122" spans="1:6" x14ac:dyDescent="0.25">
      <c r="A122" s="35"/>
      <c r="F122" s="34"/>
    </row>
    <row r="123" spans="1:6" x14ac:dyDescent="0.25">
      <c r="A123" s="35"/>
      <c r="F123" s="34"/>
    </row>
    <row r="124" spans="1:6" x14ac:dyDescent="0.25">
      <c r="A124" s="35"/>
      <c r="F124" s="34"/>
    </row>
    <row r="125" spans="1:6" x14ac:dyDescent="0.25">
      <c r="A125" s="35"/>
      <c r="F125" s="34"/>
    </row>
    <row r="126" spans="1:6" x14ac:dyDescent="0.25">
      <c r="A126" s="35"/>
      <c r="F126" s="34"/>
    </row>
    <row r="127" spans="1:6" x14ac:dyDescent="0.25">
      <c r="A127" s="35"/>
      <c r="F127" s="34"/>
    </row>
    <row r="128" spans="1:6" x14ac:dyDescent="0.25">
      <c r="A128" s="35"/>
      <c r="F128" s="34"/>
    </row>
    <row r="129" spans="1:6" x14ac:dyDescent="0.25">
      <c r="A129" s="35"/>
      <c r="F129" s="34"/>
    </row>
    <row r="130" spans="1:6" x14ac:dyDescent="0.25">
      <c r="A130" s="35"/>
      <c r="F130" s="34"/>
    </row>
    <row r="131" spans="1:6" x14ac:dyDescent="0.25">
      <c r="A131" s="35"/>
      <c r="F131" s="34"/>
    </row>
    <row r="132" spans="1:6" x14ac:dyDescent="0.25">
      <c r="A132" s="35"/>
      <c r="F132" s="34"/>
    </row>
    <row r="133" spans="1:6" x14ac:dyDescent="0.25">
      <c r="A133" s="35"/>
      <c r="F133" s="34"/>
    </row>
    <row r="134" spans="1:6" x14ac:dyDescent="0.25">
      <c r="A134" s="35"/>
      <c r="F134" s="34"/>
    </row>
    <row r="135" spans="1:6" x14ac:dyDescent="0.25">
      <c r="A135" s="35"/>
      <c r="F135" s="34"/>
    </row>
    <row r="136" spans="1:6" x14ac:dyDescent="0.25">
      <c r="A136" s="35"/>
      <c r="F136" s="34"/>
    </row>
    <row r="137" spans="1:6" x14ac:dyDescent="0.25">
      <c r="A137" s="35"/>
      <c r="F137" s="34"/>
    </row>
    <row r="138" spans="1:6" x14ac:dyDescent="0.25">
      <c r="A138" s="35"/>
      <c r="F138" s="34"/>
    </row>
    <row r="139" spans="1:6" x14ac:dyDescent="0.25">
      <c r="A139" s="35"/>
      <c r="F139" s="34"/>
    </row>
    <row r="140" spans="1:6" x14ac:dyDescent="0.25">
      <c r="A140" s="35"/>
      <c r="F140" s="34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28" spans="1:6" x14ac:dyDescent="0.25">
      <c r="A228" s="35"/>
      <c r="F228" s="34"/>
    </row>
    <row r="229" spans="1:6" x14ac:dyDescent="0.25">
      <c r="A229" s="35"/>
      <c r="F229" s="34"/>
    </row>
    <row r="230" spans="1:6" x14ac:dyDescent="0.25">
      <c r="A230" s="35"/>
      <c r="F230" s="34"/>
    </row>
    <row r="231" spans="1:6" x14ac:dyDescent="0.25">
      <c r="A231" s="35"/>
      <c r="F231" s="34"/>
    </row>
    <row r="232" spans="1:6" x14ac:dyDescent="0.25">
      <c r="A232" s="35"/>
      <c r="F232" s="34"/>
    </row>
    <row r="233" spans="1:6" x14ac:dyDescent="0.25">
      <c r="A233" s="35"/>
      <c r="F233" s="34"/>
    </row>
    <row r="234" spans="1:6" x14ac:dyDescent="0.25">
      <c r="A234" s="35"/>
      <c r="F234" s="34"/>
    </row>
    <row r="235" spans="1:6" x14ac:dyDescent="0.25">
      <c r="A235" s="35"/>
      <c r="F235" s="34"/>
    </row>
    <row r="236" spans="1:6" x14ac:dyDescent="0.25">
      <c r="A236" s="35"/>
      <c r="F236" s="34"/>
    </row>
    <row r="237" spans="1:6" x14ac:dyDescent="0.25">
      <c r="A237" s="35"/>
      <c r="F237" s="34"/>
    </row>
    <row r="238" spans="1:6" x14ac:dyDescent="0.25">
      <c r="A238" s="35"/>
      <c r="F238" s="34"/>
    </row>
    <row r="239" spans="1:6" x14ac:dyDescent="0.25">
      <c r="A239" s="35"/>
      <c r="F239" s="34"/>
    </row>
    <row r="240" spans="1:6" x14ac:dyDescent="0.25">
      <c r="A240" s="35"/>
      <c r="F240" s="34"/>
    </row>
    <row r="241" spans="1:6" x14ac:dyDescent="0.25">
      <c r="A241" s="35"/>
      <c r="F241" s="34"/>
    </row>
    <row r="242" spans="1:6" x14ac:dyDescent="0.25">
      <c r="A242" s="35"/>
      <c r="F242" s="34"/>
    </row>
    <row r="243" spans="1:6" x14ac:dyDescent="0.25">
      <c r="A243" s="35"/>
      <c r="F243" s="34"/>
    </row>
    <row r="244" spans="1:6" x14ac:dyDescent="0.25">
      <c r="A244" s="35"/>
      <c r="F244" s="34"/>
    </row>
    <row r="245" spans="1:6" x14ac:dyDescent="0.25">
      <c r="A245" s="35"/>
      <c r="F245" s="34"/>
    </row>
    <row r="246" spans="1:6" x14ac:dyDescent="0.25">
      <c r="A246" s="35"/>
      <c r="F246" s="34"/>
    </row>
    <row r="247" spans="1:6" x14ac:dyDescent="0.25">
      <c r="A247" s="35"/>
      <c r="F247" s="34"/>
    </row>
    <row r="248" spans="1:6" x14ac:dyDescent="0.25">
      <c r="A248" s="35"/>
      <c r="F248" s="34"/>
    </row>
    <row r="249" spans="1:6" x14ac:dyDescent="0.25">
      <c r="A249" s="35"/>
      <c r="F249" s="34"/>
    </row>
    <row r="250" spans="1:6" x14ac:dyDescent="0.25">
      <c r="A250" s="35"/>
      <c r="F250" s="34"/>
    </row>
    <row r="251" spans="1:6" x14ac:dyDescent="0.25">
      <c r="A251" s="35"/>
      <c r="F251" s="34"/>
    </row>
    <row r="252" spans="1:6" x14ac:dyDescent="0.25">
      <c r="A252" s="35"/>
      <c r="F252" s="34"/>
    </row>
    <row r="253" spans="1:6" x14ac:dyDescent="0.25">
      <c r="A253" s="35"/>
      <c r="F253" s="34"/>
    </row>
    <row r="254" spans="1:6" x14ac:dyDescent="0.25">
      <c r="A254" s="35"/>
      <c r="F254" s="34"/>
    </row>
    <row r="255" spans="1:6" x14ac:dyDescent="0.25">
      <c r="A255" s="35"/>
      <c r="F255" s="34"/>
    </row>
    <row r="256" spans="1:6" x14ac:dyDescent="0.25">
      <c r="A256" s="35"/>
      <c r="F256" s="34"/>
    </row>
    <row r="257" spans="1:6" x14ac:dyDescent="0.25">
      <c r="A257" s="35"/>
      <c r="F257" s="34"/>
    </row>
    <row r="258" spans="1:6" x14ac:dyDescent="0.25">
      <c r="A258" s="35"/>
      <c r="F258" s="34"/>
    </row>
    <row r="259" spans="1:6" x14ac:dyDescent="0.25">
      <c r="A259" s="35"/>
      <c r="F259" s="34"/>
    </row>
    <row r="260" spans="1:6" x14ac:dyDescent="0.25">
      <c r="A260" s="35"/>
      <c r="F260" s="34"/>
    </row>
    <row r="261" spans="1:6" x14ac:dyDescent="0.25">
      <c r="A261" s="35"/>
      <c r="F261" s="34"/>
    </row>
    <row r="262" spans="1:6" x14ac:dyDescent="0.25">
      <c r="A262" s="35"/>
      <c r="F262" s="34"/>
    </row>
    <row r="263" spans="1:6" x14ac:dyDescent="0.25">
      <c r="A263" s="35"/>
      <c r="F263" s="34"/>
    </row>
    <row r="264" spans="1:6" x14ac:dyDescent="0.25">
      <c r="A264" s="35"/>
      <c r="F264" s="34"/>
    </row>
    <row r="265" spans="1:6" x14ac:dyDescent="0.25">
      <c r="A265" s="35"/>
      <c r="F265" s="34"/>
    </row>
    <row r="266" spans="1:6" x14ac:dyDescent="0.25">
      <c r="A266" s="35"/>
      <c r="F266" s="34"/>
    </row>
    <row r="267" spans="1:6" x14ac:dyDescent="0.25">
      <c r="A267" s="35"/>
      <c r="F267" s="34"/>
    </row>
    <row r="268" spans="1:6" x14ac:dyDescent="0.25">
      <c r="A268" s="35"/>
      <c r="F268" s="34"/>
    </row>
    <row r="269" spans="1:6" x14ac:dyDescent="0.25">
      <c r="A269" s="35"/>
      <c r="F269" s="34"/>
    </row>
    <row r="270" spans="1:6" x14ac:dyDescent="0.25">
      <c r="A270" s="35"/>
      <c r="F270" s="34"/>
    </row>
    <row r="271" spans="1:6" x14ac:dyDescent="0.25">
      <c r="A271" s="35"/>
      <c r="F271" s="34"/>
    </row>
    <row r="272" spans="1:6" x14ac:dyDescent="0.25">
      <c r="A272" s="35"/>
      <c r="F272" s="34"/>
    </row>
    <row r="273" spans="1:6" x14ac:dyDescent="0.25">
      <c r="A273" s="35"/>
      <c r="F273" s="34"/>
    </row>
    <row r="274" spans="1:6" x14ac:dyDescent="0.25">
      <c r="A274" s="35"/>
      <c r="F274" s="34"/>
    </row>
    <row r="275" spans="1:6" x14ac:dyDescent="0.25">
      <c r="A275" s="35"/>
      <c r="F275" s="34"/>
    </row>
    <row r="276" spans="1:6" x14ac:dyDescent="0.25">
      <c r="A276" s="35"/>
      <c r="F276" s="34"/>
    </row>
    <row r="277" spans="1:6" x14ac:dyDescent="0.25">
      <c r="A277" s="35"/>
      <c r="F277" s="34"/>
    </row>
    <row r="278" spans="1:6" x14ac:dyDescent="0.25">
      <c r="A278" s="35"/>
      <c r="F278" s="34"/>
    </row>
    <row r="279" spans="1:6" x14ac:dyDescent="0.25">
      <c r="A279" s="35"/>
      <c r="F279" s="34"/>
    </row>
    <row r="280" spans="1:6" x14ac:dyDescent="0.25">
      <c r="A280" s="35"/>
      <c r="F280" s="34"/>
    </row>
    <row r="281" spans="1:6" x14ac:dyDescent="0.25">
      <c r="A281" s="35"/>
      <c r="F281" s="34"/>
    </row>
    <row r="282" spans="1:6" x14ac:dyDescent="0.25">
      <c r="A282" s="35"/>
      <c r="F282" s="34"/>
    </row>
    <row r="283" spans="1:6" x14ac:dyDescent="0.25">
      <c r="A283" s="35"/>
      <c r="F283" s="34"/>
    </row>
    <row r="284" spans="1:6" x14ac:dyDescent="0.25">
      <c r="A284" s="35"/>
      <c r="F284" s="34"/>
    </row>
    <row r="285" spans="1:6" x14ac:dyDescent="0.25">
      <c r="A285" s="35"/>
      <c r="F285" s="34"/>
    </row>
    <row r="286" spans="1:6" x14ac:dyDescent="0.25">
      <c r="A286" s="35"/>
      <c r="F286" s="34"/>
    </row>
    <row r="287" spans="1:6" x14ac:dyDescent="0.25">
      <c r="A287" s="35"/>
      <c r="F287" s="34"/>
    </row>
    <row r="288" spans="1:6" x14ac:dyDescent="0.25">
      <c r="A288" s="35"/>
      <c r="F288" s="34"/>
    </row>
    <row r="289" spans="1:6" x14ac:dyDescent="0.25">
      <c r="A289" s="35"/>
      <c r="F289" s="34"/>
    </row>
    <row r="290" spans="1:6" x14ac:dyDescent="0.25">
      <c r="A290" s="35"/>
      <c r="F290" s="34"/>
    </row>
    <row r="291" spans="1:6" x14ac:dyDescent="0.25">
      <c r="A291" s="35"/>
      <c r="F291" s="34"/>
    </row>
    <row r="292" spans="1:6" x14ac:dyDescent="0.25">
      <c r="A292" s="35"/>
      <c r="F292" s="34"/>
    </row>
    <row r="293" spans="1:6" x14ac:dyDescent="0.25">
      <c r="A293" s="35"/>
      <c r="F293" s="34"/>
    </row>
    <row r="294" spans="1:6" x14ac:dyDescent="0.25">
      <c r="A294" s="35"/>
      <c r="F294" s="34"/>
    </row>
    <row r="295" spans="1:6" x14ac:dyDescent="0.25">
      <c r="A295" s="35"/>
      <c r="F295" s="34"/>
    </row>
    <row r="296" spans="1:6" x14ac:dyDescent="0.25">
      <c r="A296" s="35"/>
      <c r="F296" s="34"/>
    </row>
    <row r="297" spans="1:6" x14ac:dyDescent="0.25">
      <c r="A297" s="35"/>
      <c r="F297" s="34"/>
    </row>
    <row r="298" spans="1:6" x14ac:dyDescent="0.25">
      <c r="A298" s="35"/>
      <c r="F298" s="34"/>
    </row>
    <row r="299" spans="1:6" x14ac:dyDescent="0.25">
      <c r="A299" s="35"/>
      <c r="F299" s="34"/>
    </row>
    <row r="300" spans="1:6" x14ac:dyDescent="0.25">
      <c r="A300" s="35"/>
      <c r="F300" s="34"/>
    </row>
    <row r="301" spans="1:6" x14ac:dyDescent="0.25">
      <c r="A301" s="35"/>
      <c r="F301" s="34"/>
    </row>
    <row r="302" spans="1:6" x14ac:dyDescent="0.25">
      <c r="A302" s="35"/>
      <c r="F302" s="34"/>
    </row>
    <row r="303" spans="1:6" x14ac:dyDescent="0.25">
      <c r="A303" s="35"/>
      <c r="F303" s="34"/>
    </row>
    <row r="304" spans="1:6" x14ac:dyDescent="0.25">
      <c r="A304" s="35"/>
      <c r="F304" s="34"/>
    </row>
    <row r="305" spans="1:6" x14ac:dyDescent="0.25">
      <c r="A305" s="35"/>
      <c r="F305" s="34"/>
    </row>
    <row r="306" spans="1:6" x14ac:dyDescent="0.25">
      <c r="A306" s="35"/>
      <c r="F306" s="34"/>
    </row>
    <row r="307" spans="1:6" x14ac:dyDescent="0.25">
      <c r="A307" s="35"/>
      <c r="F307" s="34"/>
    </row>
    <row r="308" spans="1:6" x14ac:dyDescent="0.25">
      <c r="A308" s="35"/>
      <c r="F308" s="34"/>
    </row>
    <row r="309" spans="1:6" x14ac:dyDescent="0.25">
      <c r="A309" s="35"/>
      <c r="F309" s="34"/>
    </row>
    <row r="310" spans="1:6" x14ac:dyDescent="0.25">
      <c r="A310" s="35"/>
      <c r="F310" s="34"/>
    </row>
    <row r="311" spans="1:6" x14ac:dyDescent="0.25">
      <c r="A311" s="35"/>
      <c r="F311" s="34"/>
    </row>
    <row r="312" spans="1:6" x14ac:dyDescent="0.25">
      <c r="A312" s="35"/>
      <c r="F312" s="34"/>
    </row>
    <row r="313" spans="1:6" x14ac:dyDescent="0.25">
      <c r="A313" s="35"/>
      <c r="F313" s="34"/>
    </row>
    <row r="314" spans="1:6" x14ac:dyDescent="0.25">
      <c r="A314" s="35"/>
      <c r="F314" s="34"/>
    </row>
    <row r="315" spans="1:6" x14ac:dyDescent="0.25">
      <c r="A315" s="35"/>
      <c r="F315" s="34"/>
    </row>
    <row r="316" spans="1:6" x14ac:dyDescent="0.25">
      <c r="A316" s="35"/>
      <c r="F316" s="34"/>
    </row>
    <row r="317" spans="1:6" x14ac:dyDescent="0.25">
      <c r="A317" s="35"/>
      <c r="F317" s="34"/>
    </row>
    <row r="318" spans="1:6" x14ac:dyDescent="0.25">
      <c r="A318" s="35"/>
      <c r="F318" s="34"/>
    </row>
    <row r="319" spans="1:6" x14ac:dyDescent="0.25">
      <c r="A319" s="35"/>
      <c r="F319" s="34"/>
    </row>
    <row r="320" spans="1:6" x14ac:dyDescent="0.25">
      <c r="A320" s="35"/>
      <c r="F320" s="34"/>
    </row>
    <row r="321" spans="1:6" x14ac:dyDescent="0.25">
      <c r="A321" s="35"/>
      <c r="F321" s="34"/>
    </row>
    <row r="322" spans="1:6" x14ac:dyDescent="0.25">
      <c r="A322" s="35"/>
      <c r="F322" s="34"/>
    </row>
    <row r="323" spans="1:6" x14ac:dyDescent="0.25">
      <c r="A323" s="35"/>
      <c r="F323" s="34"/>
    </row>
    <row r="324" spans="1:6" x14ac:dyDescent="0.25">
      <c r="A324" s="35"/>
      <c r="F324" s="34"/>
    </row>
    <row r="325" spans="1:6" x14ac:dyDescent="0.25">
      <c r="A325" s="35"/>
      <c r="F325" s="34"/>
    </row>
    <row r="326" spans="1:6" x14ac:dyDescent="0.25">
      <c r="A326" s="35"/>
      <c r="F326" s="34"/>
    </row>
    <row r="327" spans="1:6" x14ac:dyDescent="0.25">
      <c r="A327" s="35"/>
      <c r="F327" s="34"/>
    </row>
    <row r="328" spans="1:6" x14ac:dyDescent="0.25">
      <c r="A328" s="35"/>
      <c r="F328" s="34"/>
    </row>
    <row r="329" spans="1:6" x14ac:dyDescent="0.25">
      <c r="A329" s="35"/>
      <c r="F329" s="34"/>
    </row>
    <row r="330" spans="1:6" x14ac:dyDescent="0.25">
      <c r="A330" s="35"/>
      <c r="F330" s="34"/>
    </row>
    <row r="331" spans="1:6" x14ac:dyDescent="0.25">
      <c r="A331" s="35"/>
      <c r="F331" s="34"/>
    </row>
    <row r="332" spans="1:6" x14ac:dyDescent="0.25">
      <c r="A332" s="35"/>
      <c r="F332" s="34"/>
    </row>
    <row r="333" spans="1:6" x14ac:dyDescent="0.25">
      <c r="A333" s="35"/>
      <c r="F333" s="34"/>
    </row>
    <row r="334" spans="1:6" x14ac:dyDescent="0.25">
      <c r="A334" s="35"/>
      <c r="F334" s="34"/>
    </row>
    <row r="335" spans="1:6" x14ac:dyDescent="0.25">
      <c r="A335" s="35"/>
      <c r="F335" s="34"/>
    </row>
    <row r="336" spans="1:6" x14ac:dyDescent="0.25">
      <c r="A336" s="35"/>
      <c r="F336" s="34"/>
    </row>
    <row r="337" spans="1:6" x14ac:dyDescent="0.25">
      <c r="A337" s="35"/>
      <c r="F337" s="34"/>
    </row>
    <row r="338" spans="1:6" x14ac:dyDescent="0.25">
      <c r="A338" s="35"/>
      <c r="F338" s="34"/>
    </row>
    <row r="339" spans="1:6" x14ac:dyDescent="0.25">
      <c r="A339" s="35"/>
      <c r="F339" s="34"/>
    </row>
    <row r="340" spans="1:6" x14ac:dyDescent="0.25">
      <c r="A340" s="35"/>
      <c r="F340" s="34"/>
    </row>
    <row r="341" spans="1:6" x14ac:dyDescent="0.25">
      <c r="A341" s="35"/>
      <c r="F341" s="34"/>
    </row>
    <row r="342" spans="1:6" x14ac:dyDescent="0.25">
      <c r="A342" s="35"/>
      <c r="F342" s="34"/>
    </row>
    <row r="343" spans="1:6" x14ac:dyDescent="0.25">
      <c r="A343" s="35"/>
      <c r="F343" s="34"/>
    </row>
    <row r="344" spans="1:6" x14ac:dyDescent="0.25">
      <c r="A344" s="35"/>
      <c r="F344" s="34"/>
    </row>
    <row r="345" spans="1:6" x14ac:dyDescent="0.25">
      <c r="A345" s="35"/>
      <c r="F345" s="34"/>
    </row>
    <row r="346" spans="1:6" x14ac:dyDescent="0.25">
      <c r="A346" s="35"/>
      <c r="F346" s="34"/>
    </row>
    <row r="347" spans="1:6" x14ac:dyDescent="0.25">
      <c r="A347" s="35"/>
      <c r="F347" s="34"/>
    </row>
    <row r="348" spans="1:6" x14ac:dyDescent="0.25">
      <c r="A348" s="35"/>
      <c r="F348" s="34"/>
    </row>
    <row r="349" spans="1:6" x14ac:dyDescent="0.25">
      <c r="A349" s="35"/>
      <c r="F349" s="34"/>
    </row>
    <row r="350" spans="1:6" x14ac:dyDescent="0.25">
      <c r="A350" s="35"/>
      <c r="F350" s="34"/>
    </row>
    <row r="351" spans="1:6" x14ac:dyDescent="0.25">
      <c r="A351" s="35"/>
      <c r="F351" s="34"/>
    </row>
    <row r="352" spans="1:6" x14ac:dyDescent="0.25">
      <c r="A352" s="35"/>
      <c r="F352" s="34"/>
    </row>
    <row r="353" spans="1:6" x14ac:dyDescent="0.25">
      <c r="A353" s="35"/>
      <c r="F353" s="34"/>
    </row>
    <row r="354" spans="1:6" x14ac:dyDescent="0.25">
      <c r="A354" s="35"/>
      <c r="F354" s="34"/>
    </row>
    <row r="355" spans="1:6" x14ac:dyDescent="0.25">
      <c r="A355" s="35"/>
      <c r="F355" s="34"/>
    </row>
    <row r="356" spans="1:6" x14ac:dyDescent="0.25">
      <c r="A356" s="35"/>
      <c r="F356" s="34"/>
    </row>
    <row r="357" spans="1:6" x14ac:dyDescent="0.25">
      <c r="A357" s="35"/>
      <c r="F357" s="34"/>
    </row>
    <row r="358" spans="1:6" x14ac:dyDescent="0.25">
      <c r="A358" s="35"/>
      <c r="F358" s="34"/>
    </row>
    <row r="359" spans="1:6" x14ac:dyDescent="0.25">
      <c r="A359" s="35"/>
      <c r="F359" s="34"/>
    </row>
    <row r="360" spans="1:6" x14ac:dyDescent="0.25">
      <c r="A360" s="35"/>
      <c r="F360" s="34"/>
    </row>
    <row r="361" spans="1:6" x14ac:dyDescent="0.25">
      <c r="A361" s="35"/>
      <c r="F361" s="34"/>
    </row>
    <row r="362" spans="1:6" x14ac:dyDescent="0.25">
      <c r="A362" s="35"/>
      <c r="F362" s="34"/>
    </row>
    <row r="363" spans="1:6" x14ac:dyDescent="0.25">
      <c r="A363" s="35"/>
      <c r="F363" s="34"/>
    </row>
    <row r="364" spans="1:6" x14ac:dyDescent="0.25">
      <c r="A364" s="35"/>
      <c r="F364" s="34"/>
    </row>
    <row r="365" spans="1:6" x14ac:dyDescent="0.25">
      <c r="A365" s="35"/>
      <c r="F365" s="34"/>
    </row>
    <row r="366" spans="1:6" x14ac:dyDescent="0.25">
      <c r="A366" s="35"/>
      <c r="F366" s="34"/>
    </row>
    <row r="367" spans="1:6" x14ac:dyDescent="0.25">
      <c r="A367" s="35"/>
      <c r="F367" s="34"/>
    </row>
    <row r="368" spans="1:6" x14ac:dyDescent="0.25">
      <c r="A368" s="35"/>
      <c r="F368" s="34"/>
    </row>
    <row r="369" spans="1:6" x14ac:dyDescent="0.25">
      <c r="A369" s="35"/>
      <c r="F369" s="34"/>
    </row>
    <row r="370" spans="1:6" x14ac:dyDescent="0.25">
      <c r="A370" s="35"/>
      <c r="F370" s="34"/>
    </row>
    <row r="371" spans="1:6" x14ac:dyDescent="0.25">
      <c r="A371" s="35"/>
      <c r="F371" s="34"/>
    </row>
    <row r="372" spans="1:6" x14ac:dyDescent="0.25">
      <c r="A372" s="35"/>
      <c r="F372" s="34"/>
    </row>
    <row r="373" spans="1:6" x14ac:dyDescent="0.25">
      <c r="A373" s="35"/>
      <c r="F373" s="34"/>
    </row>
    <row r="374" spans="1:6" x14ac:dyDescent="0.25">
      <c r="A374" s="35"/>
      <c r="F374" s="34"/>
    </row>
    <row r="375" spans="1:6" x14ac:dyDescent="0.25">
      <c r="A375" s="35"/>
      <c r="F375" s="34"/>
    </row>
    <row r="376" spans="1:6" x14ac:dyDescent="0.25">
      <c r="A376" s="35"/>
      <c r="F376" s="34"/>
    </row>
    <row r="377" spans="1:6" x14ac:dyDescent="0.25">
      <c r="A377" s="35"/>
      <c r="F377" s="34"/>
    </row>
    <row r="378" spans="1:6" x14ac:dyDescent="0.25">
      <c r="A378" s="35"/>
      <c r="F378" s="34"/>
    </row>
    <row r="379" spans="1:6" x14ac:dyDescent="0.25">
      <c r="A379" s="35"/>
      <c r="F379" s="34"/>
    </row>
    <row r="380" spans="1:6" x14ac:dyDescent="0.25">
      <c r="A380" s="35"/>
      <c r="F380" s="34"/>
    </row>
    <row r="381" spans="1:6" x14ac:dyDescent="0.25">
      <c r="A381" s="35"/>
      <c r="F381" s="34"/>
    </row>
    <row r="382" spans="1:6" x14ac:dyDescent="0.25">
      <c r="A382" s="35"/>
      <c r="F382" s="34"/>
    </row>
    <row r="383" spans="1:6" x14ac:dyDescent="0.25">
      <c r="A383" s="35"/>
      <c r="F383" s="34"/>
    </row>
    <row r="384" spans="1:6" x14ac:dyDescent="0.25">
      <c r="A384" s="35"/>
      <c r="F384" s="34"/>
    </row>
    <row r="385" spans="1:6" x14ac:dyDescent="0.25">
      <c r="A385" s="35"/>
      <c r="F385" s="34"/>
    </row>
    <row r="386" spans="1:6" x14ac:dyDescent="0.25">
      <c r="A386" s="35"/>
      <c r="F386" s="34"/>
    </row>
    <row r="387" spans="1:6" x14ac:dyDescent="0.25">
      <c r="A387" s="35"/>
      <c r="F387" s="34"/>
    </row>
    <row r="388" spans="1:6" x14ac:dyDescent="0.25">
      <c r="A388" s="35"/>
      <c r="F388" s="34"/>
    </row>
    <row r="389" spans="1:6" x14ac:dyDescent="0.25">
      <c r="A389" s="35"/>
      <c r="F389" s="34"/>
    </row>
    <row r="390" spans="1:6" x14ac:dyDescent="0.25">
      <c r="A390" s="35"/>
      <c r="F390" s="34"/>
    </row>
    <row r="391" spans="1:6" x14ac:dyDescent="0.25">
      <c r="A391" s="35"/>
      <c r="F391" s="34"/>
    </row>
    <row r="392" spans="1:6" x14ac:dyDescent="0.25">
      <c r="A392" s="35"/>
      <c r="F392" s="34"/>
    </row>
    <row r="393" spans="1:6" x14ac:dyDescent="0.25">
      <c r="A393" s="35"/>
      <c r="F393" s="34"/>
    </row>
    <row r="394" spans="1:6" x14ac:dyDescent="0.25">
      <c r="A394" s="35"/>
      <c r="F394" s="34"/>
    </row>
    <row r="395" spans="1:6" x14ac:dyDescent="0.25">
      <c r="A395" s="35"/>
      <c r="F395" s="34"/>
    </row>
    <row r="396" spans="1:6" x14ac:dyDescent="0.25">
      <c r="A396" s="35"/>
      <c r="F396" s="34"/>
    </row>
    <row r="397" spans="1:6" x14ac:dyDescent="0.25">
      <c r="A397" s="35"/>
      <c r="F397" s="34"/>
    </row>
    <row r="398" spans="1:6" x14ac:dyDescent="0.25">
      <c r="A398" s="35"/>
      <c r="F398" s="34"/>
    </row>
    <row r="399" spans="1:6" x14ac:dyDescent="0.25">
      <c r="A399" s="35"/>
      <c r="F399" s="34"/>
    </row>
    <row r="400" spans="1:6" x14ac:dyDescent="0.25">
      <c r="A400" s="35"/>
      <c r="F400" s="34"/>
    </row>
    <row r="401" spans="1:6" x14ac:dyDescent="0.25">
      <c r="A401" s="35"/>
      <c r="F401" s="34"/>
    </row>
    <row r="402" spans="1:6" x14ac:dyDescent="0.25">
      <c r="A402" s="35"/>
      <c r="F402" s="34"/>
    </row>
    <row r="403" spans="1:6" x14ac:dyDescent="0.25">
      <c r="A403" s="35"/>
      <c r="F403" s="34"/>
    </row>
  </sheetData>
  <phoneticPr fontId="21" type="noConversion"/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6"/>
  <dimension ref="A1:H56"/>
  <sheetViews>
    <sheetView zoomScale="180" zoomScaleNormal="180" workbookViewId="0">
      <selection activeCell="A5" sqref="A5"/>
    </sheetView>
  </sheetViews>
  <sheetFormatPr defaultColWidth="8.85546875" defaultRowHeight="15" x14ac:dyDescent="0.25"/>
  <cols>
    <col min="1" max="1" width="10.7109375" style="33" customWidth="1"/>
    <col min="2" max="2" width="8.85546875" style="33"/>
    <col min="3" max="3" width="29.140625" style="33" bestFit="1" customWidth="1"/>
    <col min="4" max="6" width="8.85546875" style="33"/>
    <col min="7" max="7" width="10.28515625" style="34" customWidth="1"/>
    <col min="8" max="8" width="8.85546875" style="33"/>
    <col min="9" max="9" width="12" style="33" bestFit="1" customWidth="1"/>
    <col min="10" max="16384" width="8.85546875" style="33"/>
  </cols>
  <sheetData>
    <row r="1" spans="1:8" ht="25.5" x14ac:dyDescent="0.35">
      <c r="A1" s="52" t="s">
        <v>199</v>
      </c>
      <c r="D1" s="33">
        <v>193</v>
      </c>
      <c r="F1" s="33">
        <f>SUM(F4:F1048576)</f>
        <v>0</v>
      </c>
      <c r="G1" s="34">
        <f>SUM(G4:G1048576)</f>
        <v>0</v>
      </c>
      <c r="H1" s="33">
        <f>F1-G1</f>
        <v>0</v>
      </c>
    </row>
    <row r="3" spans="1:8" x14ac:dyDescent="0.25">
      <c r="A3" s="33" t="s">
        <v>0</v>
      </c>
      <c r="B3" s="33" t="s">
        <v>1</v>
      </c>
      <c r="C3" s="33" t="s">
        <v>7</v>
      </c>
      <c r="D3" s="33" t="s">
        <v>18</v>
      </c>
      <c r="E3" s="33" t="s">
        <v>193</v>
      </c>
      <c r="F3" s="33" t="s">
        <v>24</v>
      </c>
      <c r="G3" s="34" t="s">
        <v>9</v>
      </c>
      <c r="H3" s="33" t="s">
        <v>6</v>
      </c>
    </row>
    <row r="6" spans="1:8" x14ac:dyDescent="0.25">
      <c r="A6" s="35"/>
    </row>
    <row r="7" spans="1:8" x14ac:dyDescent="0.25">
      <c r="A7" s="35"/>
    </row>
    <row r="8" spans="1:8" x14ac:dyDescent="0.25">
      <c r="A8" s="35"/>
    </row>
    <row r="9" spans="1:8" x14ac:dyDescent="0.25">
      <c r="A9" s="35"/>
    </row>
    <row r="10" spans="1:8" x14ac:dyDescent="0.25">
      <c r="A10" s="35"/>
    </row>
    <row r="11" spans="1:8" x14ac:dyDescent="0.25">
      <c r="A11" s="35"/>
    </row>
    <row r="12" spans="1:8" x14ac:dyDescent="0.25">
      <c r="A12" s="35"/>
    </row>
    <row r="13" spans="1:8" x14ac:dyDescent="0.25">
      <c r="A13" s="35"/>
    </row>
    <row r="14" spans="1:8" x14ac:dyDescent="0.25">
      <c r="A14" s="35"/>
    </row>
    <row r="15" spans="1:8" x14ac:dyDescent="0.25">
      <c r="A15" s="35"/>
    </row>
    <row r="16" spans="1:8" x14ac:dyDescent="0.25">
      <c r="A16" s="35"/>
    </row>
    <row r="17" spans="1:6" x14ac:dyDescent="0.25">
      <c r="A17" s="35"/>
    </row>
    <row r="18" spans="1:6" x14ac:dyDescent="0.25">
      <c r="A18" s="35"/>
    </row>
    <row r="19" spans="1:6" x14ac:dyDescent="0.25">
      <c r="A19" s="35"/>
    </row>
    <row r="20" spans="1:6" x14ac:dyDescent="0.25">
      <c r="A20" s="35"/>
    </row>
    <row r="21" spans="1:6" x14ac:dyDescent="0.25">
      <c r="A21" s="35"/>
    </row>
    <row r="22" spans="1:6" x14ac:dyDescent="0.25">
      <c r="A22" s="35"/>
    </row>
    <row r="23" spans="1:6" x14ac:dyDescent="0.25">
      <c r="A23" s="35"/>
    </row>
    <row r="24" spans="1:6" ht="21" customHeight="1" x14ac:dyDescent="0.25">
      <c r="A24" s="35"/>
    </row>
    <row r="25" spans="1:6" x14ac:dyDescent="0.25">
      <c r="A25" s="35"/>
    </row>
    <row r="26" spans="1:6" x14ac:dyDescent="0.25">
      <c r="A26" s="35"/>
    </row>
    <row r="27" spans="1:6" x14ac:dyDescent="0.25">
      <c r="A27" s="35"/>
    </row>
    <row r="28" spans="1:6" ht="22.5" customHeight="1" x14ac:dyDescent="0.25">
      <c r="A28" s="35"/>
    </row>
    <row r="29" spans="1:6" x14ac:dyDescent="0.25">
      <c r="A29" s="35"/>
    </row>
    <row r="30" spans="1:6" x14ac:dyDescent="0.25">
      <c r="A30" s="35"/>
      <c r="F30" s="34"/>
    </row>
    <row r="31" spans="1:6" x14ac:dyDescent="0.25">
      <c r="A31" s="72"/>
      <c r="B31" s="73"/>
      <c r="C31" s="73"/>
      <c r="D31" s="73"/>
      <c r="E31" s="73"/>
      <c r="F31" s="43"/>
    </row>
    <row r="32" spans="1:6" x14ac:dyDescent="0.25">
      <c r="A32" s="35"/>
      <c r="F32" s="34"/>
    </row>
    <row r="33" spans="1:6" x14ac:dyDescent="0.25">
      <c r="A33" s="35"/>
      <c r="F33" s="34"/>
    </row>
    <row r="34" spans="1:6" x14ac:dyDescent="0.25">
      <c r="A34" s="35"/>
      <c r="F34" s="34"/>
    </row>
    <row r="35" spans="1:6" x14ac:dyDescent="0.25">
      <c r="A35" s="35"/>
      <c r="F35" s="34"/>
    </row>
    <row r="36" spans="1:6" x14ac:dyDescent="0.25">
      <c r="A36" s="35"/>
      <c r="F36" s="34"/>
    </row>
    <row r="37" spans="1:6" x14ac:dyDescent="0.25">
      <c r="A37" s="35"/>
      <c r="F37" s="34"/>
    </row>
    <row r="38" spans="1:6" x14ac:dyDescent="0.25">
      <c r="A38" s="35"/>
      <c r="F38" s="34"/>
    </row>
    <row r="39" spans="1:6" x14ac:dyDescent="0.25">
      <c r="A39" s="35"/>
      <c r="F39" s="34"/>
    </row>
    <row r="40" spans="1:6" x14ac:dyDescent="0.25">
      <c r="A40" s="35"/>
      <c r="F40" s="34"/>
    </row>
    <row r="41" spans="1:6" x14ac:dyDescent="0.25">
      <c r="A41" s="35"/>
      <c r="F41" s="34"/>
    </row>
    <row r="42" spans="1:6" x14ac:dyDescent="0.25">
      <c r="A42" s="35"/>
      <c r="F42" s="34"/>
    </row>
    <row r="43" spans="1:6" x14ac:dyDescent="0.25">
      <c r="A43" s="35"/>
      <c r="F43" s="34"/>
    </row>
    <row r="44" spans="1:6" x14ac:dyDescent="0.25">
      <c r="A44" s="35"/>
      <c r="F44" s="34"/>
    </row>
    <row r="45" spans="1:6" x14ac:dyDescent="0.25">
      <c r="A45" s="35"/>
      <c r="F45" s="34"/>
    </row>
    <row r="46" spans="1:6" x14ac:dyDescent="0.25">
      <c r="A46" s="35"/>
      <c r="F46" s="34"/>
    </row>
    <row r="47" spans="1:6" x14ac:dyDescent="0.25">
      <c r="A47" s="35"/>
      <c r="F47" s="34"/>
    </row>
    <row r="48" spans="1:6" ht="15" customHeight="1" x14ac:dyDescent="0.25">
      <c r="A48" s="35"/>
      <c r="F48" s="34"/>
    </row>
    <row r="49" spans="1:6" x14ac:dyDescent="0.25">
      <c r="A49" s="35"/>
      <c r="F49" s="34"/>
    </row>
    <row r="50" spans="1:6" x14ac:dyDescent="0.25">
      <c r="A50" s="35"/>
      <c r="F50" s="34"/>
    </row>
    <row r="51" spans="1:6" x14ac:dyDescent="0.25">
      <c r="A51" s="35"/>
      <c r="F51" s="34"/>
    </row>
    <row r="52" spans="1:6" x14ac:dyDescent="0.25">
      <c r="A52" s="35"/>
      <c r="F52" s="34"/>
    </row>
    <row r="53" spans="1:6" x14ac:dyDescent="0.25">
      <c r="A53" s="35"/>
      <c r="F53" s="34"/>
    </row>
    <row r="54" spans="1:6" x14ac:dyDescent="0.25">
      <c r="A54" s="35"/>
      <c r="F54" s="34"/>
    </row>
    <row r="56" spans="1:6" ht="18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36"/>
  <dimension ref="A1:I233"/>
  <sheetViews>
    <sheetView zoomScale="180" zoomScaleNormal="180" workbookViewId="0">
      <selection activeCell="A4" sqref="A4"/>
    </sheetView>
  </sheetViews>
  <sheetFormatPr defaultColWidth="8.85546875" defaultRowHeight="15" x14ac:dyDescent="0.25"/>
  <cols>
    <col min="1" max="1" width="10" style="33" customWidth="1"/>
    <col min="2" max="2" width="8.85546875" style="33"/>
    <col min="3" max="3" width="22" style="33" customWidth="1"/>
    <col min="4" max="5" width="10.7109375" style="33" customWidth="1"/>
    <col min="6" max="6" width="8.85546875" style="33"/>
    <col min="7" max="7" width="11.28515625" style="34" bestFit="1" customWidth="1"/>
    <col min="8" max="8" width="9.7109375" style="33" bestFit="1" customWidth="1"/>
    <col min="9" max="9" width="12" style="33" bestFit="1" customWidth="1"/>
    <col min="10" max="16384" width="8.85546875" style="33"/>
  </cols>
  <sheetData>
    <row r="1" spans="1:9" ht="25.5" x14ac:dyDescent="0.35">
      <c r="A1" s="52" t="s">
        <v>160</v>
      </c>
      <c r="F1" s="33">
        <f>SUM(F4:F1048576)</f>
        <v>0</v>
      </c>
      <c r="G1" s="34">
        <f>SUM(G4:G1048576)</f>
        <v>0</v>
      </c>
      <c r="H1" s="33">
        <f>F1-G1</f>
        <v>0</v>
      </c>
      <c r="I1" s="33">
        <v>197</v>
      </c>
    </row>
    <row r="2" spans="1:9" x14ac:dyDescent="0.25">
      <c r="A2" s="33" t="s">
        <v>15</v>
      </c>
      <c r="B2" s="33" t="s">
        <v>16</v>
      </c>
      <c r="C2" s="33" t="s">
        <v>17</v>
      </c>
      <c r="D2" s="33" t="s">
        <v>3</v>
      </c>
      <c r="E2" s="33" t="s">
        <v>195</v>
      </c>
      <c r="F2" s="33" t="s">
        <v>11</v>
      </c>
      <c r="G2" s="34" t="s">
        <v>9</v>
      </c>
      <c r="H2" s="33" t="s">
        <v>6</v>
      </c>
    </row>
    <row r="4" spans="1:9" x14ac:dyDescent="0.25">
      <c r="A4" s="35"/>
    </row>
    <row r="5" spans="1:9" x14ac:dyDescent="0.25">
      <c r="A5" s="35"/>
    </row>
    <row r="6" spans="1:9" x14ac:dyDescent="0.25">
      <c r="A6" s="35"/>
    </row>
    <row r="7" spans="1:9" x14ac:dyDescent="0.25">
      <c r="A7" s="35"/>
    </row>
    <row r="8" spans="1:9" x14ac:dyDescent="0.25">
      <c r="A8" s="35"/>
    </row>
    <row r="9" spans="1:9" x14ac:dyDescent="0.25">
      <c r="A9" s="35"/>
    </row>
    <row r="10" spans="1:9" x14ac:dyDescent="0.25">
      <c r="A10" s="35"/>
    </row>
    <row r="11" spans="1:9" x14ac:dyDescent="0.25">
      <c r="A11" s="35"/>
    </row>
    <row r="12" spans="1:9" x14ac:dyDescent="0.25">
      <c r="A12" s="35"/>
    </row>
    <row r="13" spans="1:9" x14ac:dyDescent="0.25">
      <c r="A13" s="35"/>
    </row>
    <row r="14" spans="1:9" x14ac:dyDescent="0.25">
      <c r="A14" s="35"/>
    </row>
    <row r="15" spans="1:9" x14ac:dyDescent="0.25">
      <c r="A15" s="35"/>
    </row>
    <row r="16" spans="1:9" x14ac:dyDescent="0.25">
      <c r="A16" s="35"/>
    </row>
    <row r="17" spans="1:1" x14ac:dyDescent="0.25">
      <c r="A17" s="35"/>
    </row>
    <row r="18" spans="1:1" x14ac:dyDescent="0.25">
      <c r="A18" s="35"/>
    </row>
    <row r="19" spans="1:1" x14ac:dyDescent="0.25">
      <c r="A19" s="35"/>
    </row>
    <row r="20" spans="1:1" x14ac:dyDescent="0.25">
      <c r="A20" s="35"/>
    </row>
    <row r="21" spans="1:1" x14ac:dyDescent="0.25">
      <c r="A21" s="35"/>
    </row>
    <row r="22" spans="1:1" x14ac:dyDescent="0.25">
      <c r="A22" s="35"/>
    </row>
    <row r="23" spans="1:1" x14ac:dyDescent="0.25">
      <c r="A23" s="35"/>
    </row>
    <row r="24" spans="1:1" x14ac:dyDescent="0.25">
      <c r="A24" s="35"/>
    </row>
    <row r="25" spans="1:1" x14ac:dyDescent="0.25">
      <c r="A25" s="35"/>
    </row>
    <row r="26" spans="1:1" x14ac:dyDescent="0.25">
      <c r="A26" s="35"/>
    </row>
    <row r="27" spans="1:1" x14ac:dyDescent="0.25">
      <c r="A27" s="35"/>
    </row>
    <row r="28" spans="1:1" x14ac:dyDescent="0.25">
      <c r="A28" s="35"/>
    </row>
    <row r="29" spans="1:1" x14ac:dyDescent="0.25">
      <c r="A29" s="35"/>
    </row>
    <row r="30" spans="1:1" x14ac:dyDescent="0.25">
      <c r="A30" s="35"/>
    </row>
    <row r="31" spans="1:1" x14ac:dyDescent="0.25">
      <c r="A31" s="35"/>
    </row>
    <row r="32" spans="1:1" x14ac:dyDescent="0.25">
      <c r="A32" s="35"/>
    </row>
    <row r="33" spans="1:1" x14ac:dyDescent="0.25">
      <c r="A33" s="35"/>
    </row>
    <row r="34" spans="1:1" x14ac:dyDescent="0.25">
      <c r="A34" s="35"/>
    </row>
    <row r="35" spans="1:1" x14ac:dyDescent="0.25">
      <c r="A35" s="35"/>
    </row>
    <row r="36" spans="1:1" x14ac:dyDescent="0.25">
      <c r="A36" s="35"/>
    </row>
    <row r="37" spans="1:1" x14ac:dyDescent="0.25">
      <c r="A37" s="35"/>
    </row>
    <row r="38" spans="1:1" x14ac:dyDescent="0.25">
      <c r="A38" s="35"/>
    </row>
    <row r="39" spans="1:1" x14ac:dyDescent="0.25">
      <c r="A39" s="35"/>
    </row>
    <row r="40" spans="1:1" x14ac:dyDescent="0.25">
      <c r="A40" s="35"/>
    </row>
    <row r="41" spans="1:1" x14ac:dyDescent="0.25">
      <c r="A41" s="35"/>
    </row>
    <row r="42" spans="1:1" x14ac:dyDescent="0.25">
      <c r="A42" s="35"/>
    </row>
    <row r="43" spans="1:1" x14ac:dyDescent="0.25">
      <c r="A43" s="35"/>
    </row>
    <row r="44" spans="1:1" x14ac:dyDescent="0.25">
      <c r="A44" s="35"/>
    </row>
    <row r="45" spans="1:1" x14ac:dyDescent="0.25">
      <c r="A45" s="35"/>
    </row>
    <row r="46" spans="1:1" x14ac:dyDescent="0.25">
      <c r="A46" s="35"/>
    </row>
    <row r="47" spans="1:1" x14ac:dyDescent="0.25">
      <c r="A47" s="35"/>
    </row>
    <row r="48" spans="1:1" x14ac:dyDescent="0.25">
      <c r="A48" s="35"/>
    </row>
    <row r="49" spans="1:1" x14ac:dyDescent="0.25">
      <c r="A49" s="35"/>
    </row>
    <row r="50" spans="1:1" x14ac:dyDescent="0.25">
      <c r="A50" s="35"/>
    </row>
    <row r="51" spans="1:1" x14ac:dyDescent="0.25">
      <c r="A51" s="35"/>
    </row>
    <row r="52" spans="1:1" x14ac:dyDescent="0.25">
      <c r="A52" s="35"/>
    </row>
    <row r="53" spans="1:1" x14ac:dyDescent="0.25">
      <c r="A53" s="35"/>
    </row>
    <row r="54" spans="1:1" x14ac:dyDescent="0.25">
      <c r="A54" s="35"/>
    </row>
    <row r="55" spans="1:1" x14ac:dyDescent="0.25">
      <c r="A55" s="35"/>
    </row>
    <row r="56" spans="1:1" x14ac:dyDescent="0.25">
      <c r="A56" s="35"/>
    </row>
    <row r="57" spans="1:1" x14ac:dyDescent="0.25">
      <c r="A57" s="35"/>
    </row>
    <row r="58" spans="1:1" x14ac:dyDescent="0.25">
      <c r="A58" s="35"/>
    </row>
    <row r="59" spans="1:1" x14ac:dyDescent="0.25">
      <c r="A59" s="35"/>
    </row>
    <row r="60" spans="1:1" x14ac:dyDescent="0.25">
      <c r="A60" s="35"/>
    </row>
    <row r="61" spans="1:1" x14ac:dyDescent="0.25">
      <c r="A61" s="35"/>
    </row>
    <row r="62" spans="1:1" x14ac:dyDescent="0.25">
      <c r="A62" s="35"/>
    </row>
    <row r="63" spans="1:1" x14ac:dyDescent="0.25">
      <c r="A63" s="35"/>
    </row>
    <row r="64" spans="1:1" x14ac:dyDescent="0.25">
      <c r="A64" s="35"/>
    </row>
    <row r="65" spans="1:1" x14ac:dyDescent="0.25">
      <c r="A65" s="35"/>
    </row>
    <row r="66" spans="1:1" x14ac:dyDescent="0.25">
      <c r="A66" s="35"/>
    </row>
    <row r="67" spans="1:1" x14ac:dyDescent="0.25">
      <c r="A67" s="35"/>
    </row>
    <row r="68" spans="1:1" x14ac:dyDescent="0.25">
      <c r="A68" s="35"/>
    </row>
    <row r="69" spans="1:1" x14ac:dyDescent="0.25">
      <c r="A69" s="35"/>
    </row>
    <row r="70" spans="1:1" x14ac:dyDescent="0.25">
      <c r="A70" s="35"/>
    </row>
    <row r="71" spans="1:1" x14ac:dyDescent="0.25">
      <c r="A71" s="35"/>
    </row>
    <row r="72" spans="1:1" x14ac:dyDescent="0.25">
      <c r="A72" s="35"/>
    </row>
    <row r="73" spans="1:1" x14ac:dyDescent="0.25">
      <c r="A73" s="35"/>
    </row>
    <row r="74" spans="1:1" x14ac:dyDescent="0.25">
      <c r="A74" s="35"/>
    </row>
    <row r="75" spans="1:1" x14ac:dyDescent="0.25">
      <c r="A75" s="35"/>
    </row>
    <row r="76" spans="1:1" x14ac:dyDescent="0.25">
      <c r="A76" s="35"/>
    </row>
    <row r="77" spans="1:1" x14ac:dyDescent="0.25">
      <c r="A77" s="35"/>
    </row>
    <row r="78" spans="1:1" x14ac:dyDescent="0.25">
      <c r="A78" s="35"/>
    </row>
    <row r="79" spans="1:1" x14ac:dyDescent="0.25">
      <c r="A79" s="35"/>
    </row>
    <row r="80" spans="1:1" ht="15.75" customHeight="1" x14ac:dyDescent="0.25">
      <c r="A80" s="35"/>
    </row>
    <row r="81" spans="1:1" x14ac:dyDescent="0.25">
      <c r="A81" s="35"/>
    </row>
    <row r="82" spans="1:1" x14ac:dyDescent="0.25">
      <c r="A82" s="35"/>
    </row>
    <row r="83" spans="1:1" x14ac:dyDescent="0.25">
      <c r="A83" s="35"/>
    </row>
    <row r="84" spans="1:1" x14ac:dyDescent="0.25">
      <c r="A84" s="35"/>
    </row>
    <row r="85" spans="1:1" x14ac:dyDescent="0.25">
      <c r="A85" s="35"/>
    </row>
    <row r="86" spans="1:1" x14ac:dyDescent="0.25">
      <c r="A86" s="35"/>
    </row>
    <row r="87" spans="1:1" x14ac:dyDescent="0.25">
      <c r="A87" s="35"/>
    </row>
    <row r="88" spans="1:1" x14ac:dyDescent="0.25">
      <c r="A88" s="35"/>
    </row>
    <row r="89" spans="1:1" x14ac:dyDescent="0.25">
      <c r="A89" s="35"/>
    </row>
    <row r="90" spans="1:1" x14ac:dyDescent="0.25">
      <c r="A90" s="35"/>
    </row>
    <row r="91" spans="1:1" x14ac:dyDescent="0.25">
      <c r="A91" s="35"/>
    </row>
    <row r="92" spans="1:1" x14ac:dyDescent="0.25">
      <c r="A92" s="35"/>
    </row>
    <row r="93" spans="1:1" x14ac:dyDescent="0.25">
      <c r="A93" s="35"/>
    </row>
    <row r="94" spans="1:1" x14ac:dyDescent="0.25">
      <c r="A94" s="35"/>
    </row>
    <row r="95" spans="1:1" x14ac:dyDescent="0.25">
      <c r="A95" s="35"/>
    </row>
    <row r="96" spans="1:1" x14ac:dyDescent="0.25">
      <c r="A96" s="35"/>
    </row>
    <row r="97" spans="1:1" x14ac:dyDescent="0.25">
      <c r="A97" s="35"/>
    </row>
    <row r="98" spans="1:1" x14ac:dyDescent="0.25">
      <c r="A98" s="35"/>
    </row>
    <row r="99" spans="1:1" x14ac:dyDescent="0.25">
      <c r="A99" s="35"/>
    </row>
    <row r="100" spans="1:1" x14ac:dyDescent="0.25">
      <c r="A100" s="35"/>
    </row>
    <row r="101" spans="1:1" x14ac:dyDescent="0.25">
      <c r="A101" s="35"/>
    </row>
    <row r="102" spans="1:1" x14ac:dyDescent="0.25">
      <c r="A102" s="35"/>
    </row>
    <row r="103" spans="1:1" x14ac:dyDescent="0.25">
      <c r="A103" s="35"/>
    </row>
    <row r="104" spans="1:1" x14ac:dyDescent="0.25">
      <c r="A104" s="35"/>
    </row>
    <row r="105" spans="1:1" x14ac:dyDescent="0.25">
      <c r="A105" s="35"/>
    </row>
    <row r="106" spans="1:1" x14ac:dyDescent="0.25">
      <c r="A106" s="35"/>
    </row>
    <row r="107" spans="1:1" x14ac:dyDescent="0.25">
      <c r="A107" s="35"/>
    </row>
    <row r="108" spans="1:1" x14ac:dyDescent="0.25">
      <c r="A108" s="35"/>
    </row>
    <row r="109" spans="1:1" x14ac:dyDescent="0.25">
      <c r="A109" s="35"/>
    </row>
    <row r="110" spans="1:1" x14ac:dyDescent="0.25">
      <c r="A110" s="35"/>
    </row>
    <row r="111" spans="1:1" x14ac:dyDescent="0.25">
      <c r="A111" s="35"/>
    </row>
    <row r="112" spans="1:1" x14ac:dyDescent="0.25">
      <c r="A112" s="35"/>
    </row>
    <row r="113" spans="1:1" x14ac:dyDescent="0.25">
      <c r="A113" s="35"/>
    </row>
    <row r="114" spans="1:1" x14ac:dyDescent="0.25">
      <c r="A114" s="35"/>
    </row>
    <row r="115" spans="1:1" x14ac:dyDescent="0.25">
      <c r="A115" s="35"/>
    </row>
    <row r="116" spans="1:1" x14ac:dyDescent="0.25">
      <c r="A116" s="35"/>
    </row>
    <row r="117" spans="1:1" x14ac:dyDescent="0.25">
      <c r="A117" s="35"/>
    </row>
    <row r="118" spans="1:1" x14ac:dyDescent="0.25">
      <c r="A118" s="35"/>
    </row>
    <row r="119" spans="1:1" x14ac:dyDescent="0.25">
      <c r="A119" s="35"/>
    </row>
    <row r="120" spans="1:1" x14ac:dyDescent="0.25">
      <c r="A120" s="35"/>
    </row>
    <row r="121" spans="1:1" x14ac:dyDescent="0.25">
      <c r="A121" s="35"/>
    </row>
    <row r="122" spans="1:1" x14ac:dyDescent="0.25">
      <c r="A122" s="35"/>
    </row>
    <row r="123" spans="1:1" x14ac:dyDescent="0.25">
      <c r="A123" s="35"/>
    </row>
    <row r="124" spans="1:1" x14ac:dyDescent="0.25">
      <c r="A124" s="35"/>
    </row>
    <row r="125" spans="1:1" x14ac:dyDescent="0.25">
      <c r="A125" s="35"/>
    </row>
    <row r="126" spans="1:1" x14ac:dyDescent="0.25">
      <c r="A126" s="35"/>
    </row>
    <row r="127" spans="1:1" x14ac:dyDescent="0.25">
      <c r="A127" s="35"/>
    </row>
    <row r="128" spans="1:1" x14ac:dyDescent="0.25">
      <c r="A128" s="35"/>
    </row>
    <row r="129" spans="1:6" x14ac:dyDescent="0.25">
      <c r="A129" s="35"/>
    </row>
    <row r="130" spans="1:6" x14ac:dyDescent="0.25">
      <c r="A130" s="35"/>
    </row>
    <row r="131" spans="1:6" x14ac:dyDescent="0.25">
      <c r="A131" s="35"/>
    </row>
    <row r="132" spans="1:6" x14ac:dyDescent="0.25">
      <c r="A132" s="35"/>
    </row>
    <row r="133" spans="1:6" x14ac:dyDescent="0.25">
      <c r="A133" s="35"/>
    </row>
    <row r="134" spans="1:6" x14ac:dyDescent="0.25">
      <c r="A134" s="35"/>
    </row>
    <row r="135" spans="1:6" x14ac:dyDescent="0.25">
      <c r="A135" s="35"/>
    </row>
    <row r="136" spans="1:6" x14ac:dyDescent="0.25">
      <c r="A136" s="35"/>
    </row>
    <row r="137" spans="1:6" x14ac:dyDescent="0.25">
      <c r="A137" s="35"/>
    </row>
    <row r="138" spans="1:6" x14ac:dyDescent="0.25">
      <c r="A138" s="35"/>
    </row>
    <row r="139" spans="1:6" x14ac:dyDescent="0.25">
      <c r="A139" s="35"/>
    </row>
    <row r="140" spans="1:6" x14ac:dyDescent="0.25">
      <c r="A140" s="35"/>
    </row>
    <row r="141" spans="1:6" x14ac:dyDescent="0.25">
      <c r="A141" s="35"/>
      <c r="F141" s="34"/>
    </row>
    <row r="142" spans="1:6" x14ac:dyDescent="0.25">
      <c r="A142" s="35"/>
      <c r="F142" s="34"/>
    </row>
    <row r="143" spans="1:6" x14ac:dyDescent="0.25">
      <c r="A143" s="35"/>
      <c r="F143" s="34"/>
    </row>
    <row r="144" spans="1:6" x14ac:dyDescent="0.25">
      <c r="A144" s="35"/>
      <c r="F144" s="34"/>
    </row>
    <row r="145" spans="1:6" x14ac:dyDescent="0.25">
      <c r="A145" s="35"/>
      <c r="F145" s="34"/>
    </row>
    <row r="146" spans="1:6" x14ac:dyDescent="0.25">
      <c r="A146" s="35"/>
      <c r="F146" s="34"/>
    </row>
    <row r="147" spans="1:6" x14ac:dyDescent="0.25">
      <c r="A147" s="35"/>
      <c r="F147" s="34"/>
    </row>
    <row r="148" spans="1:6" x14ac:dyDescent="0.25">
      <c r="A148" s="35"/>
      <c r="F148" s="34"/>
    </row>
    <row r="149" spans="1:6" x14ac:dyDescent="0.25">
      <c r="A149" s="35"/>
      <c r="F149" s="34"/>
    </row>
    <row r="150" spans="1:6" x14ac:dyDescent="0.25">
      <c r="A150" s="35"/>
      <c r="F150" s="34"/>
    </row>
    <row r="151" spans="1:6" x14ac:dyDescent="0.25">
      <c r="A151" s="35"/>
      <c r="F151" s="34"/>
    </row>
    <row r="152" spans="1:6" x14ac:dyDescent="0.25">
      <c r="A152" s="35"/>
      <c r="F152" s="34"/>
    </row>
    <row r="153" spans="1:6" x14ac:dyDescent="0.25">
      <c r="A153" s="35"/>
      <c r="F153" s="34"/>
    </row>
    <row r="154" spans="1:6" x14ac:dyDescent="0.25">
      <c r="A154" s="35"/>
      <c r="F154" s="34"/>
    </row>
    <row r="155" spans="1:6" x14ac:dyDescent="0.25">
      <c r="A155" s="35"/>
      <c r="F155" s="34"/>
    </row>
    <row r="156" spans="1:6" x14ac:dyDescent="0.25">
      <c r="A156" s="35"/>
      <c r="F156" s="34"/>
    </row>
    <row r="157" spans="1:6" x14ac:dyDescent="0.25">
      <c r="A157" s="35"/>
      <c r="F157" s="34"/>
    </row>
    <row r="158" spans="1:6" x14ac:dyDescent="0.25">
      <c r="A158" s="35"/>
      <c r="F158" s="34"/>
    </row>
    <row r="159" spans="1:6" x14ac:dyDescent="0.25">
      <c r="A159" s="35"/>
      <c r="F159" s="34"/>
    </row>
    <row r="160" spans="1:6" x14ac:dyDescent="0.25">
      <c r="A160" s="35"/>
      <c r="F160" s="34"/>
    </row>
    <row r="161" spans="1:6" x14ac:dyDescent="0.25">
      <c r="A161" s="35"/>
      <c r="F161" s="34"/>
    </row>
    <row r="162" spans="1:6" x14ac:dyDescent="0.25">
      <c r="A162" s="35"/>
      <c r="F162" s="34"/>
    </row>
    <row r="163" spans="1:6" x14ac:dyDescent="0.25">
      <c r="A163" s="35"/>
      <c r="F163" s="34"/>
    </row>
    <row r="164" spans="1:6" x14ac:dyDescent="0.25">
      <c r="A164" s="35"/>
      <c r="F164" s="34"/>
    </row>
    <row r="165" spans="1:6" x14ac:dyDescent="0.25">
      <c r="A165" s="35"/>
      <c r="F165" s="34"/>
    </row>
    <row r="166" spans="1:6" x14ac:dyDescent="0.25">
      <c r="A166" s="35"/>
      <c r="F166" s="34"/>
    </row>
    <row r="167" spans="1:6" x14ac:dyDescent="0.25">
      <c r="A167" s="35"/>
      <c r="F167" s="34"/>
    </row>
    <row r="168" spans="1:6" x14ac:dyDescent="0.25">
      <c r="A168" s="35"/>
      <c r="F168" s="34"/>
    </row>
    <row r="169" spans="1:6" x14ac:dyDescent="0.25">
      <c r="A169" s="35"/>
      <c r="F169" s="34"/>
    </row>
    <row r="170" spans="1:6" x14ac:dyDescent="0.25">
      <c r="A170" s="35"/>
      <c r="F170" s="34"/>
    </row>
    <row r="171" spans="1:6" x14ac:dyDescent="0.25">
      <c r="A171" s="35"/>
      <c r="F171" s="34"/>
    </row>
    <row r="172" spans="1:6" x14ac:dyDescent="0.25">
      <c r="A172" s="35"/>
      <c r="F172" s="34"/>
    </row>
    <row r="173" spans="1:6" x14ac:dyDescent="0.25">
      <c r="A173" s="35"/>
      <c r="F173" s="34"/>
    </row>
    <row r="174" spans="1:6" x14ac:dyDescent="0.25">
      <c r="A174" s="35"/>
      <c r="F174" s="34"/>
    </row>
    <row r="175" spans="1:6" x14ac:dyDescent="0.25">
      <c r="A175" s="35"/>
      <c r="F175" s="34"/>
    </row>
    <row r="176" spans="1:6" x14ac:dyDescent="0.25">
      <c r="A176" s="35"/>
      <c r="F176" s="34"/>
    </row>
    <row r="177" spans="1:6" x14ac:dyDescent="0.25">
      <c r="A177" s="35"/>
      <c r="F177" s="34"/>
    </row>
    <row r="178" spans="1:6" x14ac:dyDescent="0.25">
      <c r="A178" s="35"/>
      <c r="F178" s="34"/>
    </row>
    <row r="179" spans="1:6" x14ac:dyDescent="0.25">
      <c r="A179" s="35"/>
      <c r="F179" s="34"/>
    </row>
    <row r="180" spans="1:6" x14ac:dyDescent="0.25">
      <c r="A180" s="35"/>
      <c r="F180" s="34"/>
    </row>
    <row r="181" spans="1:6" x14ac:dyDescent="0.25">
      <c r="A181" s="35"/>
      <c r="F181" s="34"/>
    </row>
    <row r="182" spans="1:6" x14ac:dyDescent="0.25">
      <c r="A182" s="35"/>
      <c r="F182" s="34"/>
    </row>
    <row r="183" spans="1:6" x14ac:dyDescent="0.25">
      <c r="A183" s="35"/>
      <c r="F183" s="34"/>
    </row>
    <row r="184" spans="1:6" x14ac:dyDescent="0.25">
      <c r="A184" s="35"/>
      <c r="F184" s="34"/>
    </row>
    <row r="185" spans="1:6" x14ac:dyDescent="0.25">
      <c r="A185" s="35"/>
      <c r="F185" s="34"/>
    </row>
    <row r="186" spans="1:6" x14ac:dyDescent="0.25">
      <c r="A186" s="35"/>
      <c r="F186" s="34"/>
    </row>
    <row r="187" spans="1:6" x14ac:dyDescent="0.25">
      <c r="A187" s="35"/>
      <c r="F187" s="34"/>
    </row>
    <row r="188" spans="1:6" x14ac:dyDescent="0.25">
      <c r="A188" s="35"/>
      <c r="F188" s="34"/>
    </row>
    <row r="189" spans="1:6" x14ac:dyDescent="0.25">
      <c r="A189" s="35"/>
      <c r="F189" s="34"/>
    </row>
    <row r="190" spans="1:6" x14ac:dyDescent="0.25">
      <c r="A190" s="35"/>
      <c r="F190" s="34"/>
    </row>
    <row r="191" spans="1:6" x14ac:dyDescent="0.25">
      <c r="A191" s="35"/>
      <c r="F191" s="34"/>
    </row>
    <row r="192" spans="1:6" x14ac:dyDescent="0.25">
      <c r="A192" s="35"/>
      <c r="F192" s="34"/>
    </row>
    <row r="193" spans="1:6" x14ac:dyDescent="0.25">
      <c r="A193" s="35"/>
      <c r="F193" s="34"/>
    </row>
    <row r="194" spans="1:6" x14ac:dyDescent="0.25">
      <c r="A194" s="35"/>
      <c r="F194" s="34"/>
    </row>
    <row r="195" spans="1:6" x14ac:dyDescent="0.25">
      <c r="A195" s="35"/>
      <c r="F195" s="34"/>
    </row>
    <row r="196" spans="1:6" x14ac:dyDescent="0.25">
      <c r="A196" s="35"/>
      <c r="F196" s="34"/>
    </row>
    <row r="197" spans="1:6" x14ac:dyDescent="0.25">
      <c r="A197" s="35"/>
      <c r="F197" s="34"/>
    </row>
    <row r="198" spans="1:6" x14ac:dyDescent="0.25">
      <c r="A198" s="35"/>
      <c r="F198" s="34"/>
    </row>
    <row r="199" spans="1:6" x14ac:dyDescent="0.25">
      <c r="A199" s="35"/>
      <c r="F199" s="34"/>
    </row>
    <row r="200" spans="1:6" x14ac:dyDescent="0.25">
      <c r="A200" s="35"/>
      <c r="F200" s="34"/>
    </row>
    <row r="201" spans="1:6" x14ac:dyDescent="0.25">
      <c r="A201" s="35"/>
      <c r="F201" s="34"/>
    </row>
    <row r="202" spans="1:6" x14ac:dyDescent="0.25">
      <c r="A202" s="35"/>
      <c r="F202" s="34"/>
    </row>
    <row r="203" spans="1:6" x14ac:dyDescent="0.25">
      <c r="A203" s="35"/>
      <c r="F203" s="34"/>
    </row>
    <row r="204" spans="1:6" x14ac:dyDescent="0.25">
      <c r="A204" s="35"/>
      <c r="F204" s="34"/>
    </row>
    <row r="205" spans="1:6" x14ac:dyDescent="0.25">
      <c r="A205" s="35"/>
      <c r="F205" s="34"/>
    </row>
    <row r="206" spans="1:6" x14ac:dyDescent="0.25">
      <c r="A206" s="35"/>
      <c r="F206" s="34"/>
    </row>
    <row r="207" spans="1:6" x14ac:dyDescent="0.25">
      <c r="A207" s="35"/>
      <c r="F207" s="34"/>
    </row>
    <row r="208" spans="1:6" x14ac:dyDescent="0.25">
      <c r="A208" s="35"/>
      <c r="F208" s="34"/>
    </row>
    <row r="209" spans="1:6" x14ac:dyDescent="0.25">
      <c r="A209" s="35"/>
      <c r="F209" s="34"/>
    </row>
    <row r="210" spans="1:6" x14ac:dyDescent="0.25">
      <c r="A210" s="35"/>
      <c r="F210" s="34"/>
    </row>
    <row r="211" spans="1:6" x14ac:dyDescent="0.25">
      <c r="A211" s="35"/>
      <c r="F211" s="34"/>
    </row>
    <row r="212" spans="1:6" x14ac:dyDescent="0.25">
      <c r="A212" s="35"/>
      <c r="F212" s="34"/>
    </row>
    <row r="213" spans="1:6" x14ac:dyDescent="0.25">
      <c r="A213" s="35"/>
      <c r="F213" s="34"/>
    </row>
    <row r="214" spans="1:6" x14ac:dyDescent="0.25">
      <c r="A214" s="35"/>
      <c r="F214" s="34"/>
    </row>
    <row r="215" spans="1:6" x14ac:dyDescent="0.25">
      <c r="A215" s="35"/>
      <c r="F215" s="34"/>
    </row>
    <row r="216" spans="1:6" x14ac:dyDescent="0.25">
      <c r="A216" s="35"/>
      <c r="F216" s="34"/>
    </row>
    <row r="217" spans="1:6" x14ac:dyDescent="0.25">
      <c r="A217" s="35"/>
      <c r="F217" s="34"/>
    </row>
    <row r="218" spans="1:6" x14ac:dyDescent="0.25">
      <c r="A218" s="35"/>
      <c r="F218" s="34"/>
    </row>
    <row r="219" spans="1:6" x14ac:dyDescent="0.25">
      <c r="A219" s="35"/>
      <c r="F219" s="34"/>
    </row>
    <row r="220" spans="1:6" x14ac:dyDescent="0.25">
      <c r="A220" s="35"/>
      <c r="F220" s="34"/>
    </row>
    <row r="221" spans="1:6" x14ac:dyDescent="0.25">
      <c r="A221" s="35"/>
      <c r="F221" s="34"/>
    </row>
    <row r="222" spans="1:6" x14ac:dyDescent="0.25">
      <c r="A222" s="35"/>
      <c r="F222" s="34"/>
    </row>
    <row r="223" spans="1:6" x14ac:dyDescent="0.25">
      <c r="A223" s="35"/>
      <c r="F223" s="34"/>
    </row>
    <row r="224" spans="1:6" x14ac:dyDescent="0.25">
      <c r="A224" s="35"/>
      <c r="F224" s="34"/>
    </row>
    <row r="225" spans="1:6" x14ac:dyDescent="0.25">
      <c r="A225" s="35"/>
      <c r="F225" s="34"/>
    </row>
    <row r="226" spans="1:6" x14ac:dyDescent="0.25">
      <c r="A226" s="35"/>
      <c r="F226" s="34"/>
    </row>
    <row r="227" spans="1:6" x14ac:dyDescent="0.25">
      <c r="A227" s="35"/>
      <c r="F227" s="34"/>
    </row>
    <row r="231" spans="1:6" x14ac:dyDescent="0.25">
      <c r="A231" s="35"/>
    </row>
    <row r="233" spans="1:6" x14ac:dyDescent="0.25">
      <c r="A233" s="35"/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B672-4920-4338-90D6-BDF4448845EC}">
  <sheetPr codeName="Sheet97"/>
  <dimension ref="A20:D33"/>
  <sheetViews>
    <sheetView workbookViewId="0">
      <selection activeCell="A33" sqref="A33"/>
    </sheetView>
  </sheetViews>
  <sheetFormatPr defaultRowHeight="15" x14ac:dyDescent="0.25"/>
  <sheetData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8"/>
  <dimension ref="A1:G33"/>
  <sheetViews>
    <sheetView workbookViewId="0">
      <selection activeCell="A33" sqref="A33"/>
    </sheetView>
  </sheetViews>
  <sheetFormatPr defaultRowHeight="15" x14ac:dyDescent="0.25"/>
  <cols>
    <col min="1" max="1" width="11.140625" customWidth="1"/>
    <col min="3" max="3" width="18.5703125" customWidth="1"/>
    <col min="5" max="5" width="12.42578125" customWidth="1"/>
    <col min="6" max="6" width="11.85546875" customWidth="1"/>
    <col min="7" max="7" width="12.28515625" customWidth="1"/>
    <col min="8" max="8" width="11" bestFit="1" customWidth="1"/>
  </cols>
  <sheetData>
    <row r="1" spans="1:7" ht="26.25" x14ac:dyDescent="0.4">
      <c r="A1" s="15" t="s">
        <v>187</v>
      </c>
      <c r="B1" s="3"/>
      <c r="C1" s="3"/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21</v>
      </c>
      <c r="B3" t="s">
        <v>38</v>
      </c>
      <c r="C3" t="s">
        <v>26</v>
      </c>
      <c r="D3" t="s">
        <v>3</v>
      </c>
      <c r="E3" t="s">
        <v>24</v>
      </c>
      <c r="F3" t="s">
        <v>25</v>
      </c>
      <c r="G3" t="s">
        <v>6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9"/>
  <dimension ref="A1:L33"/>
  <sheetViews>
    <sheetView workbookViewId="0">
      <selection activeCell="A33" sqref="A33"/>
    </sheetView>
  </sheetViews>
  <sheetFormatPr defaultRowHeight="15" x14ac:dyDescent="0.25"/>
  <cols>
    <col min="1" max="1" width="10" customWidth="1"/>
    <col min="3" max="3" width="18" customWidth="1"/>
    <col min="5" max="5" width="12.140625" customWidth="1"/>
    <col min="6" max="6" width="11.7109375" customWidth="1"/>
    <col min="7" max="7" width="12.42578125" customWidth="1"/>
  </cols>
  <sheetData>
    <row r="1" spans="1:12" ht="26.25" x14ac:dyDescent="0.4">
      <c r="A1" s="15" t="s">
        <v>110</v>
      </c>
      <c r="D1" s="4" t="s">
        <v>141</v>
      </c>
      <c r="E1">
        <f>SUM(E4:E1048576)</f>
        <v>0</v>
      </c>
      <c r="F1">
        <f>SUM(F4:F1048576)</f>
        <v>0</v>
      </c>
      <c r="G1">
        <f>E1-F1</f>
        <v>0</v>
      </c>
      <c r="I1">
        <v>235</v>
      </c>
      <c r="L1" t="s">
        <v>145</v>
      </c>
    </row>
    <row r="3" spans="1:12" x14ac:dyDescent="0.25">
      <c r="A3" t="s">
        <v>0</v>
      </c>
      <c r="B3" t="s">
        <v>1</v>
      </c>
      <c r="C3" t="s">
        <v>7</v>
      </c>
      <c r="D3" t="s">
        <v>18</v>
      </c>
      <c r="E3" t="s">
        <v>11</v>
      </c>
      <c r="F3" t="s">
        <v>9</v>
      </c>
      <c r="G3" t="s">
        <v>6</v>
      </c>
    </row>
    <row r="16" spans="1:12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33" spans="1:1" x14ac:dyDescent="0.25">
      <c r="A33" s="33"/>
    </row>
  </sheetData>
  <pageMargins left="0.7" right="0.7" top="0.75" bottom="0.75" header="0.3" footer="0.3"/>
  <pageSetup orientation="portrait" horizontalDpi="300" verticalDpi="3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52"/>
  <dimension ref="A1:I53"/>
  <sheetViews>
    <sheetView workbookViewId="0">
      <selection activeCell="A33" sqref="A33"/>
    </sheetView>
  </sheetViews>
  <sheetFormatPr defaultRowHeight="15" x14ac:dyDescent="0.25"/>
  <cols>
    <col min="1" max="1" width="10.7109375" customWidth="1"/>
    <col min="3" max="3" width="19.5703125" customWidth="1"/>
    <col min="4" max="4" width="11.140625" customWidth="1"/>
    <col min="5" max="5" width="13.140625" customWidth="1"/>
    <col min="6" max="6" width="11.85546875" customWidth="1"/>
    <col min="7" max="7" width="15.85546875" customWidth="1"/>
    <col min="8" max="8" width="11" bestFit="1" customWidth="1"/>
  </cols>
  <sheetData>
    <row r="1" spans="1:9" s="19" customFormat="1" ht="23.25" x14ac:dyDescent="0.35">
      <c r="A1" s="16" t="s">
        <v>142</v>
      </c>
      <c r="C1" s="19" t="s">
        <v>144</v>
      </c>
      <c r="D1" s="19" t="s">
        <v>143</v>
      </c>
      <c r="E1" s="19">
        <f>SUM(E4:E1048576)</f>
        <v>0</v>
      </c>
      <c r="F1" s="19">
        <f>SUM(F4:F1048576)</f>
        <v>0</v>
      </c>
      <c r="G1" s="19">
        <f>E1-F1</f>
        <v>0</v>
      </c>
      <c r="I1" s="19">
        <v>203</v>
      </c>
    </row>
    <row r="2" spans="1:9" x14ac:dyDescent="0.25">
      <c r="A2" t="s">
        <v>0</v>
      </c>
      <c r="B2" t="s">
        <v>1</v>
      </c>
      <c r="C2" t="s">
        <v>7</v>
      </c>
      <c r="D2" t="s">
        <v>18</v>
      </c>
      <c r="E2" t="s">
        <v>11</v>
      </c>
      <c r="F2" t="s">
        <v>9</v>
      </c>
      <c r="G2" t="s">
        <v>6</v>
      </c>
      <c r="I2" t="s">
        <v>74</v>
      </c>
    </row>
    <row r="6" spans="1:9" x14ac:dyDescent="0.25">
      <c r="A6" s="5"/>
    </row>
    <row r="7" spans="1:9" x14ac:dyDescent="0.25">
      <c r="A7" s="5"/>
    </row>
    <row r="8" spans="1:9" x14ac:dyDescent="0.25">
      <c r="A8" s="5"/>
    </row>
    <row r="9" spans="1:9" x14ac:dyDescent="0.25">
      <c r="A9" s="5"/>
    </row>
    <row r="10" spans="1:9" x14ac:dyDescent="0.25">
      <c r="A10" s="5"/>
    </row>
    <row r="11" spans="1:9" x14ac:dyDescent="0.25">
      <c r="A11" s="5"/>
    </row>
    <row r="12" spans="1:9" x14ac:dyDescent="0.25">
      <c r="A12" s="5"/>
    </row>
    <row r="13" spans="1:9" x14ac:dyDescent="0.25">
      <c r="A13" s="5"/>
    </row>
    <row r="14" spans="1:9" x14ac:dyDescent="0.25">
      <c r="A14" s="5"/>
    </row>
    <row r="15" spans="1:9" x14ac:dyDescent="0.25">
      <c r="A15" s="5"/>
    </row>
    <row r="16" spans="1:9" x14ac:dyDescent="0.25">
      <c r="A16" s="5"/>
    </row>
    <row r="17" spans="1:4" x14ac:dyDescent="0.25">
      <c r="A17" s="5"/>
    </row>
    <row r="18" spans="1:4" x14ac:dyDescent="0.25">
      <c r="A18" s="5"/>
    </row>
    <row r="19" spans="1:4" x14ac:dyDescent="0.25">
      <c r="A19" s="5"/>
    </row>
    <row r="20" spans="1:4" x14ac:dyDescent="0.25">
      <c r="A20" s="5"/>
      <c r="D20" s="33"/>
    </row>
    <row r="21" spans="1:4" x14ac:dyDescent="0.25">
      <c r="A21" s="5"/>
    </row>
    <row r="22" spans="1:4" x14ac:dyDescent="0.25">
      <c r="A22" s="5"/>
    </row>
    <row r="23" spans="1:4" x14ac:dyDescent="0.25">
      <c r="A23" s="5"/>
    </row>
    <row r="24" spans="1:4" x14ac:dyDescent="0.25">
      <c r="A24" s="5"/>
    </row>
    <row r="25" spans="1:4" x14ac:dyDescent="0.25">
      <c r="A25" s="5"/>
    </row>
    <row r="26" spans="1:4" x14ac:dyDescent="0.25">
      <c r="A26" s="5"/>
    </row>
    <row r="27" spans="1:4" x14ac:dyDescent="0.25">
      <c r="A27" s="5"/>
    </row>
    <row r="28" spans="1:4" x14ac:dyDescent="0.25">
      <c r="A28" s="5"/>
    </row>
    <row r="29" spans="1:4" x14ac:dyDescent="0.25">
      <c r="A29" s="5"/>
    </row>
    <row r="30" spans="1:4" x14ac:dyDescent="0.25">
      <c r="A30" s="5"/>
    </row>
    <row r="31" spans="1:4" x14ac:dyDescent="0.25">
      <c r="A31" s="5"/>
    </row>
    <row r="32" spans="1:4" x14ac:dyDescent="0.25">
      <c r="A32" s="5"/>
    </row>
    <row r="33" spans="1:1" x14ac:dyDescent="0.25">
      <c r="A33" s="3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0"/>
  <dimension ref="A1:G33"/>
  <sheetViews>
    <sheetView workbookViewId="0">
      <selection activeCell="A33" sqref="A33"/>
    </sheetView>
  </sheetViews>
  <sheetFormatPr defaultRowHeight="15" x14ac:dyDescent="0.25"/>
  <cols>
    <col min="1" max="1" width="10.85546875" customWidth="1"/>
    <col min="3" max="3" width="14.5703125" customWidth="1"/>
    <col min="4" max="4" width="8.140625" customWidth="1"/>
  </cols>
  <sheetData>
    <row r="1" spans="1:7" ht="26.25" x14ac:dyDescent="0.4">
      <c r="A1" s="15" t="s">
        <v>87</v>
      </c>
      <c r="D1">
        <v>95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85</v>
      </c>
      <c r="C3" t="s">
        <v>7</v>
      </c>
      <c r="D3" t="s">
        <v>18</v>
      </c>
      <c r="E3" t="s">
        <v>24</v>
      </c>
      <c r="F3" t="s">
        <v>9</v>
      </c>
      <c r="G3" t="s">
        <v>6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01"/>
  <dimension ref="A1:J769"/>
  <sheetViews>
    <sheetView workbookViewId="0">
      <selection activeCell="A33" sqref="A33"/>
    </sheetView>
  </sheetViews>
  <sheetFormatPr defaultRowHeight="15" x14ac:dyDescent="0.25"/>
  <sheetData>
    <row r="1" spans="1:10" x14ac:dyDescent="0.25">
      <c r="A1" t="s">
        <v>64</v>
      </c>
      <c r="D1">
        <v>91</v>
      </c>
      <c r="F1">
        <f>SUM(F4:F1048576)</f>
        <v>0</v>
      </c>
      <c r="G1">
        <f>SUM(G4:G1048576)</f>
        <v>0</v>
      </c>
      <c r="H1">
        <f>F1-G1</f>
        <v>0</v>
      </c>
    </row>
    <row r="3" spans="1:10" x14ac:dyDescent="0.25">
      <c r="A3" t="s">
        <v>67</v>
      </c>
      <c r="B3" t="s">
        <v>32</v>
      </c>
      <c r="C3" t="s">
        <v>65</v>
      </c>
      <c r="D3" t="s">
        <v>68</v>
      </c>
      <c r="E3" t="s">
        <v>69</v>
      </c>
      <c r="F3" t="s">
        <v>24</v>
      </c>
      <c r="G3" t="s">
        <v>25</v>
      </c>
      <c r="H3" t="s">
        <v>6</v>
      </c>
      <c r="I3" t="s">
        <v>70</v>
      </c>
      <c r="J3" t="s">
        <v>66</v>
      </c>
    </row>
    <row r="20" spans="4:4" x14ac:dyDescent="0.25">
      <c r="D20" s="33"/>
    </row>
    <row r="33" spans="1:1" x14ac:dyDescent="0.25">
      <c r="A33" s="33"/>
    </row>
    <row r="766" spans="1:8" x14ac:dyDescent="0.25">
      <c r="D766" t="s">
        <v>163</v>
      </c>
      <c r="E766">
        <v>400000</v>
      </c>
      <c r="H766">
        <v>24439903</v>
      </c>
    </row>
    <row r="767" spans="1:8" x14ac:dyDescent="0.25">
      <c r="A767" t="s">
        <v>167</v>
      </c>
      <c r="B767">
        <v>219</v>
      </c>
      <c r="C767" t="s">
        <v>158</v>
      </c>
      <c r="D767" t="s">
        <v>156</v>
      </c>
      <c r="E767">
        <v>167900</v>
      </c>
      <c r="H767">
        <v>38.799999999999997</v>
      </c>
    </row>
    <row r="768" spans="1:8" x14ac:dyDescent="0.25">
      <c r="A768" t="s">
        <v>167</v>
      </c>
      <c r="B768">
        <v>219</v>
      </c>
      <c r="C768" t="s">
        <v>158</v>
      </c>
      <c r="D768" t="s">
        <v>156</v>
      </c>
      <c r="E768">
        <v>480000</v>
      </c>
      <c r="H768">
        <v>210</v>
      </c>
    </row>
    <row r="769" spans="1:8" x14ac:dyDescent="0.25">
      <c r="A769" t="s">
        <v>167</v>
      </c>
      <c r="B769">
        <v>219</v>
      </c>
      <c r="C769" t="s">
        <v>159</v>
      </c>
      <c r="D769" t="s">
        <v>156</v>
      </c>
      <c r="E769">
        <v>148000</v>
      </c>
      <c r="H769">
        <v>1824091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2"/>
  <dimension ref="A1:I33"/>
  <sheetViews>
    <sheetView zoomScale="150" zoomScaleNormal="150" workbookViewId="0">
      <selection activeCell="A4" sqref="A4:H14"/>
    </sheetView>
  </sheetViews>
  <sheetFormatPr defaultRowHeight="15" x14ac:dyDescent="0.25"/>
  <cols>
    <col min="1" max="1" width="11.7109375" customWidth="1"/>
    <col min="3" max="3" width="15.7109375" customWidth="1"/>
    <col min="4" max="4" width="10.85546875" customWidth="1"/>
    <col min="5" max="5" width="11.140625" customWidth="1"/>
    <col min="6" max="6" width="11.5703125" customWidth="1"/>
    <col min="7" max="7" width="14" customWidth="1"/>
  </cols>
  <sheetData>
    <row r="1" spans="1:9" ht="18.75" x14ac:dyDescent="0.3">
      <c r="A1" s="4" t="s">
        <v>123</v>
      </c>
      <c r="B1" s="4"/>
      <c r="D1" s="4" t="s">
        <v>124</v>
      </c>
      <c r="E1">
        <f>SUM(E4:E1048576)</f>
        <v>0</v>
      </c>
      <c r="F1">
        <f>SUM(F4:F1048576)</f>
        <v>0</v>
      </c>
      <c r="G1">
        <f>E1-F1</f>
        <v>0</v>
      </c>
      <c r="I1">
        <v>59</v>
      </c>
    </row>
    <row r="3" spans="1:9" x14ac:dyDescent="0.25">
      <c r="A3" t="s">
        <v>0</v>
      </c>
      <c r="B3" t="s">
        <v>85</v>
      </c>
      <c r="C3" t="s">
        <v>7</v>
      </c>
      <c r="D3" t="s">
        <v>18</v>
      </c>
      <c r="E3" t="s">
        <v>24</v>
      </c>
      <c r="F3" t="s">
        <v>9</v>
      </c>
      <c r="G3" t="s">
        <v>6</v>
      </c>
    </row>
    <row r="5" spans="1:9" x14ac:dyDescent="0.25">
      <c r="A5" s="5"/>
    </row>
    <row r="6" spans="1:9" x14ac:dyDescent="0.25">
      <c r="A6" s="5"/>
    </row>
    <row r="7" spans="1:9" x14ac:dyDescent="0.25">
      <c r="A7" s="5"/>
    </row>
    <row r="20" spans="4:4" x14ac:dyDescent="0.25">
      <c r="D20" s="33"/>
    </row>
    <row r="33" spans="1:1" x14ac:dyDescent="0.25">
      <c r="A33" s="33"/>
    </row>
  </sheetData>
  <phoneticPr fontId="21" type="noConversion"/>
  <pageMargins left="0.7" right="0.7" top="0.75" bottom="0.75" header="0.3" footer="0.3"/>
  <pageSetup orientation="portrait" horizontalDpi="300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3"/>
  <dimension ref="A1:G33"/>
  <sheetViews>
    <sheetView workbookViewId="0">
      <selection activeCell="A33" sqref="A33"/>
    </sheetView>
  </sheetViews>
  <sheetFormatPr defaultRowHeight="15" x14ac:dyDescent="0.25"/>
  <cols>
    <col min="1" max="1" width="10.140625" customWidth="1"/>
  </cols>
  <sheetData>
    <row r="1" spans="1:7" x14ac:dyDescent="0.25">
      <c r="A1" t="s">
        <v>96</v>
      </c>
      <c r="E1">
        <f>SUM(E4:E1048576)</f>
        <v>0</v>
      </c>
      <c r="F1">
        <f>SUM(F4:F1048576)</f>
        <v>0</v>
      </c>
      <c r="G1">
        <f>E1-F1</f>
        <v>0</v>
      </c>
    </row>
    <row r="3" spans="1:7" x14ac:dyDescent="0.25">
      <c r="A3" t="s">
        <v>0</v>
      </c>
      <c r="B3" t="s">
        <v>85</v>
      </c>
      <c r="C3" t="s">
        <v>7</v>
      </c>
      <c r="D3" t="s">
        <v>18</v>
      </c>
      <c r="E3" t="s">
        <v>24</v>
      </c>
      <c r="F3" t="s">
        <v>9</v>
      </c>
      <c r="G3" t="s">
        <v>6</v>
      </c>
    </row>
    <row r="20" spans="4:4" x14ac:dyDescent="0.25">
      <c r="D20" s="33"/>
    </row>
    <row r="33" spans="1:1" x14ac:dyDescent="0.25">
      <c r="A33" s="3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103</vt:i4>
      </vt:variant>
      <vt:variant>
        <vt:lpstr>Named Ranges</vt:lpstr>
      </vt:variant>
      <vt:variant>
        <vt:i4>1</vt:i4>
      </vt:variant>
    </vt:vector>
  </HeadingPairs>
  <TitlesOfParts>
    <vt:vector size="104" baseType="lpstr">
      <vt:lpstr>ASGAR</vt:lpstr>
      <vt:lpstr>AHSAN GHAZI CENTER</vt:lpstr>
      <vt:lpstr>AHSAN SWAT</vt:lpstr>
      <vt:lpstr>ASIF HASSAN</vt:lpstr>
      <vt:lpstr>ALI  KH  HASAN</vt:lpstr>
      <vt:lpstr>ALI PLASTIC</vt:lpstr>
      <vt:lpstr>ASHRAF  BUND ROAD</vt:lpstr>
      <vt:lpstr>AZEEM CHAWLA</vt:lpstr>
      <vt:lpstr>AHY</vt:lpstr>
      <vt:lpstr>A A  JUNAID</vt:lpstr>
      <vt:lpstr>ASHRAF REF ASIF BHUTA</vt:lpstr>
      <vt:lpstr>ABL  LK DEPOSIT</vt:lpstr>
      <vt:lpstr>AFZAL</vt:lpstr>
      <vt:lpstr>AQIB. havel</vt:lpstr>
      <vt:lpstr>ADIL </vt:lpstr>
      <vt:lpstr>ANMOL</vt:lpstr>
      <vt:lpstr>AZIZ</vt:lpstr>
      <vt:lpstr>AMIR CHEMA GUJRAT</vt:lpstr>
      <vt:lpstr>AHSAN ILAHI REF ASIF</vt:lpstr>
      <vt:lpstr>ALFATAH</vt:lpstr>
      <vt:lpstr>ABID PLASTIC</vt:lpstr>
      <vt:lpstr>ASLAM REF ASIF</vt:lpstr>
      <vt:lpstr>TAXO  SIDDIQUI  TRADER</vt:lpstr>
      <vt:lpstr>AL NAFAEH</vt:lpstr>
      <vt:lpstr>BILAL</vt:lpstr>
      <vt:lpstr>BASIT MUNIR</vt:lpstr>
      <vt:lpstr>CARVAN TRADERS</vt:lpstr>
      <vt:lpstr>DILBAR  BURAWALA</vt:lpstr>
      <vt:lpstr>FINE  BILLO</vt:lpstr>
      <vt:lpstr>FINE  PLASTIC</vt:lpstr>
      <vt:lpstr>FAISAL DAWOOD</vt:lpstr>
      <vt:lpstr>HAMZA PACKAGES</vt:lpstr>
      <vt:lpstr>HAMZA</vt:lpstr>
      <vt:lpstr>HAJI BROS</vt:lpstr>
      <vt:lpstr>HAJI SONS</vt:lpstr>
      <vt:lpstr>HAVEL</vt:lpstr>
      <vt:lpstr>IMTIAZ  TMR  MKT</vt:lpstr>
      <vt:lpstr>ISHAQ</vt:lpstr>
      <vt:lpstr>MIAN JAVAD HAVEL</vt:lpstr>
      <vt:lpstr>JAVED  REF ASIF HASAN</vt:lpstr>
      <vt:lpstr>JUNAID.PLASTIC</vt:lpstr>
      <vt:lpstr>KH GOHAR</vt:lpstr>
      <vt:lpstr>K PACK</vt:lpstr>
      <vt:lpstr>KOH.A.NOOR</vt:lpstr>
      <vt:lpstr>KH KHURRAM</vt:lpstr>
      <vt:lpstr>KAMRAN   LDP</vt:lpstr>
      <vt:lpstr>KAKA  M S</vt:lpstr>
      <vt:lpstr>KO NOOR  ALI</vt:lpstr>
      <vt:lpstr>LHR  POLY</vt:lpstr>
      <vt:lpstr>LUCKY</vt:lpstr>
      <vt:lpstr>MAPCO</vt:lpstr>
      <vt:lpstr>MUKTAR</vt:lpstr>
      <vt:lpstr>MOON PLASTIC</vt:lpstr>
      <vt:lpstr>MALIK INDUSTERY</vt:lpstr>
      <vt:lpstr>MIAN ISHFAQ REF MIAN JAVAD</vt:lpstr>
      <vt:lpstr>M.S.PLASTIC</vt:lpstr>
      <vt:lpstr>MASTER LATIF</vt:lpstr>
      <vt:lpstr>MUBASAR  SIDDIQUI</vt:lpstr>
      <vt:lpstr>MUKTAR.COMETEE</vt:lpstr>
      <vt:lpstr>MAJID LIBERTY</vt:lpstr>
      <vt:lpstr>MOHSIN</vt:lpstr>
      <vt:lpstr>MAMU BASHARAT</vt:lpstr>
      <vt:lpstr>MUDASAR  N N</vt:lpstr>
      <vt:lpstr>N N PLASTIC</vt:lpstr>
      <vt:lpstr>NASIR  </vt:lpstr>
      <vt:lpstr>OLMPIA CASH</vt:lpstr>
      <vt:lpstr>PAK NOORANI</vt:lpstr>
      <vt:lpstr>PRINCE TRADERS</vt:lpstr>
      <vt:lpstr>PAK PLASTIC</vt:lpstr>
      <vt:lpstr>PAK PLASTIC CAR</vt:lpstr>
      <vt:lpstr>PLASTIC CENTER</vt:lpstr>
      <vt:lpstr>ROSHAN PVC</vt:lpstr>
      <vt:lpstr>Sheet2</vt:lpstr>
      <vt:lpstr>RIAZ SONS</vt:lpstr>
      <vt:lpstr>RASHEED PACKAGES</vt:lpstr>
      <vt:lpstr>ROYAL.PLASTIC</vt:lpstr>
      <vt:lpstr>RUBANI</vt:lpstr>
      <vt:lpstr>SUPER NOORANI</vt:lpstr>
      <vt:lpstr>SOOFI PLASTIC</vt:lpstr>
      <vt:lpstr>SURI CHEMICAL</vt:lpstr>
      <vt:lpstr>S A S</vt:lpstr>
      <vt:lpstr>SH DAWOOD</vt:lpstr>
      <vt:lpstr>SAJID PLASTIC</vt:lpstr>
      <vt:lpstr>SABIR SHAHDARA</vt:lpstr>
      <vt:lpstr>SUN   NABEEL</vt:lpstr>
      <vt:lpstr>SHABER</vt:lpstr>
      <vt:lpstr>SUN  PLASTIC  SOHAIL</vt:lpstr>
      <vt:lpstr>SAEED SAMANABAD</vt:lpstr>
      <vt:lpstr>TARIQ  PLASTIC</vt:lpstr>
      <vt:lpstr>TAHIR RASHEED</vt:lpstr>
      <vt:lpstr>U B C</vt:lpstr>
      <vt:lpstr>UMAIR MOCHI</vt:lpstr>
      <vt:lpstr>USMAN  CALPET</vt:lpstr>
      <vt:lpstr>UMER MAQSOOD</vt:lpstr>
      <vt:lpstr>ZULFQARNAN</vt:lpstr>
      <vt:lpstr>Sheet1</vt:lpstr>
      <vt:lpstr>ZAFAR REF SAJID PLASTIC</vt:lpstr>
      <vt:lpstr>WAQAS PLASTIC IRFAN</vt:lpstr>
      <vt:lpstr>WAQAS PLASTIC WAQAS</vt:lpstr>
      <vt:lpstr>BANK AL HABIB</vt:lpstr>
      <vt:lpstr>OUTSTANDING BANK PAYMENT</vt:lpstr>
      <vt:lpstr>ALFALAH  MARGEN</vt:lpstr>
      <vt:lpstr>IMPORT</vt:lpstr>
      <vt:lpstr>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Ali</dc:creator>
  <cp:lastModifiedBy>Azeem Ali</cp:lastModifiedBy>
  <cp:lastPrinted>2023-04-15T07:16:01Z</cp:lastPrinted>
  <dcterms:created xsi:type="dcterms:W3CDTF">2010-01-06T10:14:19Z</dcterms:created>
  <dcterms:modified xsi:type="dcterms:W3CDTF">2025-10-14T14:07:15Z</dcterms:modified>
</cp:coreProperties>
</file>